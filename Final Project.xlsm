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org\Desktop\Programing\SQL\Final Project\"/>
    </mc:Choice>
  </mc:AlternateContent>
  <xr:revisionPtr revIDLastSave="0" documentId="13_ncr:1_{B64F0329-6F82-4DB5-AB98-906375EBDDB8}" xr6:coauthVersionLast="45" xr6:coauthVersionMax="45" xr10:uidLastSave="{00000000-0000-0000-0000-000000000000}"/>
  <bookViews>
    <workbookView xWindow="2784" yWindow="744" windowWidth="17280" windowHeight="8964" firstSheet="4" activeTab="6" xr2:uid="{00000000-000D-0000-FFFF-FFFF00000000}"/>
  </bookViews>
  <sheets>
    <sheet name="__hidden" sheetId="38" state="veryHidden" r:id="rId1"/>
    <sheet name="Customers" sheetId="54" r:id="rId2"/>
    <sheet name="Cards" sheetId="60" r:id="rId3"/>
    <sheet name="Games" sheetId="55" r:id="rId4"/>
    <sheet name="Publishers" sheetId="61" r:id="rId5"/>
    <sheet name="Employees" sheetId="57" r:id="rId6"/>
    <sheet name="Online_orders" sheetId="53" r:id="rId7"/>
    <sheet name="Local_sales" sheetId="63" r:id="rId8"/>
    <sheet name="Branches" sheetId="58" r:id="rId9"/>
    <sheet name="Warehouses" sheetId="59" r:id="rId10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81029"/>
</workbook>
</file>

<file path=xl/calcChain.xml><?xml version="1.0" encoding="utf-8"?>
<calcChain xmlns="http://schemas.openxmlformats.org/spreadsheetml/2006/main">
  <c r="C41" i="55" l="1"/>
  <c r="B41" i="55" s="1"/>
  <c r="C2" i="55"/>
  <c r="B2" i="55" s="1"/>
  <c r="F8" i="59"/>
  <c r="F9" i="59"/>
  <c r="F10" i="59"/>
  <c r="F7" i="59"/>
  <c r="F6" i="59"/>
  <c r="I8" i="57"/>
  <c r="C4" i="55" l="1"/>
  <c r="B4" i="55" s="1"/>
  <c r="C5" i="55"/>
  <c r="B5" i="55" s="1"/>
  <c r="C6" i="55"/>
  <c r="B6" i="55" s="1"/>
  <c r="C7" i="55"/>
  <c r="B7" i="55" s="1"/>
  <c r="C8" i="55"/>
  <c r="B8" i="55" s="1"/>
  <c r="C9" i="55"/>
  <c r="B9" i="55" s="1"/>
  <c r="C10" i="55"/>
  <c r="B10" i="55" s="1"/>
  <c r="C11" i="55"/>
  <c r="B11" i="55" s="1"/>
  <c r="C12" i="55"/>
  <c r="B12" i="55" s="1"/>
  <c r="C13" i="55"/>
  <c r="B13" i="55" s="1"/>
  <c r="C14" i="55"/>
  <c r="B14" i="55" s="1"/>
  <c r="C15" i="55"/>
  <c r="B15" i="55" s="1"/>
  <c r="C16" i="55"/>
  <c r="B16" i="55" s="1"/>
  <c r="C17" i="55"/>
  <c r="B17" i="55" s="1"/>
  <c r="C18" i="55"/>
  <c r="B18" i="55" s="1"/>
  <c r="C19" i="55"/>
  <c r="B19" i="55" s="1"/>
  <c r="C20" i="55"/>
  <c r="B20" i="55" s="1"/>
  <c r="C21" i="55"/>
  <c r="B21" i="55" s="1"/>
  <c r="C22" i="55"/>
  <c r="B22" i="55" s="1"/>
  <c r="C23" i="55"/>
  <c r="B23" i="55" s="1"/>
  <c r="C24" i="55"/>
  <c r="B24" i="55" s="1"/>
  <c r="C25" i="55"/>
  <c r="B25" i="55" s="1"/>
  <c r="C26" i="55"/>
  <c r="B26" i="55" s="1"/>
  <c r="C27" i="55"/>
  <c r="B27" i="55" s="1"/>
  <c r="C28" i="55"/>
  <c r="B28" i="55" s="1"/>
  <c r="C29" i="55"/>
  <c r="B29" i="55" s="1"/>
  <c r="C30" i="55"/>
  <c r="B30" i="55" s="1"/>
  <c r="C31" i="55"/>
  <c r="B31" i="55" s="1"/>
  <c r="C32" i="55"/>
  <c r="B32" i="55" s="1"/>
  <c r="C33" i="55"/>
  <c r="B33" i="55" s="1"/>
  <c r="C34" i="55"/>
  <c r="B34" i="55" s="1"/>
  <c r="C35" i="55"/>
  <c r="B35" i="55" s="1"/>
  <c r="C36" i="55"/>
  <c r="B36" i="55" s="1"/>
  <c r="C37" i="55"/>
  <c r="B37" i="55" s="1"/>
  <c r="C38" i="55"/>
  <c r="B38" i="55" s="1"/>
  <c r="C39" i="55"/>
  <c r="B39" i="55" s="1"/>
  <c r="C40" i="55"/>
  <c r="B40" i="55" s="1"/>
  <c r="C3" i="55" l="1"/>
  <c r="B3" i="55" s="1"/>
  <c r="C34" i="60"/>
  <c r="C210" i="63"/>
  <c r="B137" i="63"/>
  <c r="C107" i="63"/>
  <c r="C247" i="63"/>
  <c r="B29" i="57"/>
  <c r="E57" i="57"/>
  <c r="C63" i="57"/>
  <c r="B193" i="63"/>
  <c r="F81" i="63"/>
  <c r="B3" i="57"/>
  <c r="B84" i="57"/>
  <c r="D259" i="63"/>
  <c r="B108" i="63"/>
  <c r="B99" i="57"/>
  <c r="C90" i="57"/>
  <c r="F207" i="63"/>
  <c r="D59" i="60"/>
  <c r="D101" i="57"/>
  <c r="B181" i="63"/>
  <c r="C4" i="53"/>
  <c r="E354" i="63"/>
  <c r="B161" i="54"/>
  <c r="H32" i="54"/>
  <c r="E17" i="53"/>
  <c r="F404" i="63"/>
  <c r="D186" i="63"/>
  <c r="C379" i="63"/>
  <c r="B66" i="63"/>
  <c r="B206" i="63"/>
  <c r="B352" i="63"/>
  <c r="F85" i="57"/>
  <c r="F101" i="63"/>
  <c r="E147" i="63"/>
  <c r="D138" i="63"/>
  <c r="C93" i="53"/>
  <c r="B85" i="57"/>
  <c r="B53" i="57"/>
  <c r="E9" i="63"/>
  <c r="D333" i="63"/>
  <c r="B68" i="63"/>
  <c r="C36" i="53"/>
  <c r="F84" i="63"/>
  <c r="F205" i="54"/>
  <c r="B95" i="63"/>
  <c r="E85" i="57"/>
  <c r="E108" i="63"/>
  <c r="B32" i="57"/>
  <c r="C2" i="63"/>
  <c r="D291" i="63"/>
  <c r="C17" i="53"/>
  <c r="C366" i="63"/>
  <c r="F205" i="63"/>
  <c r="H267" i="54"/>
  <c r="E198" i="63"/>
  <c r="F405" i="63"/>
  <c r="E430" i="63"/>
  <c r="B16" i="63"/>
  <c r="E307" i="63"/>
  <c r="D255" i="63"/>
  <c r="E40" i="63"/>
  <c r="B343" i="63"/>
  <c r="C39" i="57"/>
  <c r="D421" i="63"/>
  <c r="B444" i="63"/>
  <c r="E25" i="57"/>
  <c r="D377" i="63"/>
  <c r="B196" i="63"/>
  <c r="E36" i="63"/>
  <c r="C98" i="53"/>
  <c r="F88" i="57"/>
  <c r="D330" i="63"/>
  <c r="B159" i="63"/>
  <c r="D20" i="54"/>
  <c r="F37" i="63"/>
  <c r="F126" i="63"/>
  <c r="E438" i="63"/>
  <c r="B51" i="63"/>
  <c r="B130" i="63"/>
  <c r="C30" i="53"/>
  <c r="E40" i="57"/>
  <c r="D105" i="63"/>
  <c r="C203" i="63"/>
  <c r="B231" i="63"/>
  <c r="B293" i="63"/>
  <c r="D15" i="57"/>
  <c r="E306" i="63"/>
  <c r="D294" i="63"/>
  <c r="B34" i="57"/>
  <c r="D203" i="63"/>
  <c r="F71" i="57"/>
  <c r="C318" i="63"/>
  <c r="H97" i="54"/>
  <c r="D331" i="63"/>
  <c r="F2" i="58"/>
  <c r="E203" i="63"/>
  <c r="H215" i="54"/>
  <c r="B175" i="63"/>
  <c r="B395" i="63"/>
  <c r="E368" i="63"/>
  <c r="F8" i="53"/>
  <c r="E109" i="63"/>
  <c r="B388" i="63"/>
  <c r="C240" i="63"/>
  <c r="E400" i="63"/>
  <c r="B57" i="53"/>
  <c r="D19" i="58"/>
  <c r="F419" i="63"/>
  <c r="F353" i="63"/>
  <c r="F360" i="63"/>
  <c r="D185" i="63"/>
  <c r="B151" i="63"/>
  <c r="F80" i="53"/>
  <c r="H89" i="54"/>
  <c r="B207" i="63"/>
  <c r="C6" i="57"/>
  <c r="E22" i="54"/>
  <c r="D132" i="63"/>
  <c r="B40" i="63"/>
  <c r="F59" i="63"/>
  <c r="E61" i="63"/>
  <c r="B69" i="57"/>
  <c r="F290" i="63"/>
  <c r="B39" i="60"/>
  <c r="F380" i="63"/>
  <c r="F18" i="53"/>
  <c r="D144" i="54"/>
  <c r="D19" i="54"/>
  <c r="E157" i="63"/>
  <c r="D82" i="57"/>
  <c r="C302" i="63"/>
  <c r="C446" i="63"/>
  <c r="F221" i="63"/>
  <c r="B139" i="63"/>
  <c r="B304" i="63"/>
  <c r="E16" i="58"/>
  <c r="C82" i="57"/>
  <c r="B166" i="63"/>
  <c r="E47" i="53"/>
  <c r="B30" i="60"/>
  <c r="F413" i="63"/>
  <c r="C2" i="57"/>
  <c r="D233" i="63"/>
  <c r="C38" i="60"/>
  <c r="B20" i="63"/>
  <c r="E95" i="57"/>
  <c r="C35" i="53"/>
  <c r="E341" i="63"/>
  <c r="F206" i="63"/>
  <c r="D241" i="63"/>
  <c r="D248" i="63"/>
  <c r="D451" i="63"/>
  <c r="B443" i="63"/>
  <c r="B180" i="63"/>
  <c r="B122" i="63"/>
  <c r="C311" i="63"/>
  <c r="C139" i="63"/>
  <c r="E59" i="53"/>
  <c r="D15" i="58"/>
  <c r="F182" i="63"/>
  <c r="F417" i="63"/>
  <c r="F370" i="63"/>
  <c r="F451" i="63"/>
  <c r="F79" i="57"/>
  <c r="C3" i="53"/>
  <c r="F268" i="63"/>
  <c r="B69" i="63"/>
  <c r="E47" i="57"/>
  <c r="F326" i="63"/>
  <c r="H283" i="54"/>
  <c r="E349" i="63"/>
  <c r="E113" i="63"/>
  <c r="B368" i="63"/>
  <c r="C230" i="63"/>
  <c r="D139" i="63"/>
  <c r="D286" i="63"/>
  <c r="D158" i="63"/>
  <c r="F338" i="63"/>
  <c r="B396" i="63"/>
  <c r="F199" i="63"/>
  <c r="E308" i="63"/>
  <c r="F261" i="63"/>
  <c r="D423" i="63"/>
  <c r="B211" i="63"/>
  <c r="F224" i="63"/>
  <c r="F89" i="63"/>
  <c r="B4" i="57"/>
  <c r="F3" i="57"/>
  <c r="C160" i="63"/>
  <c r="D283" i="63"/>
  <c r="E58" i="53"/>
  <c r="D120" i="63"/>
  <c r="B25" i="60"/>
  <c r="C88" i="53"/>
  <c r="F381" i="63"/>
  <c r="E411" i="63"/>
  <c r="E270" i="63"/>
  <c r="D11" i="58"/>
  <c r="C52" i="57"/>
  <c r="F40" i="63"/>
  <c r="E22" i="63"/>
  <c r="D282" i="63"/>
  <c r="D53" i="57"/>
  <c r="B421" i="63"/>
  <c r="C58" i="53"/>
  <c r="F33" i="57"/>
  <c r="D276" i="63"/>
  <c r="D437" i="63"/>
  <c r="B73" i="60"/>
  <c r="D190" i="63"/>
  <c r="E8" i="58"/>
  <c r="B93" i="57"/>
  <c r="F230" i="63"/>
  <c r="B26" i="63"/>
  <c r="F160" i="63"/>
  <c r="C53" i="53"/>
  <c r="C360" i="63"/>
  <c r="E29" i="57"/>
  <c r="E7" i="57"/>
  <c r="B327" i="63"/>
  <c r="B269" i="63"/>
  <c r="D167" i="54"/>
  <c r="D430" i="63"/>
  <c r="C345" i="63"/>
  <c r="D319" i="63"/>
  <c r="E51" i="57"/>
  <c r="D75" i="60"/>
  <c r="E61" i="57"/>
  <c r="E75" i="63"/>
  <c r="E408" i="63"/>
  <c r="E68" i="63"/>
  <c r="D361" i="63"/>
  <c r="D12" i="54"/>
  <c r="H128" i="54"/>
  <c r="D303" i="63"/>
  <c r="F236" i="63"/>
  <c r="B332" i="63"/>
  <c r="H162" i="54"/>
  <c r="D106" i="54"/>
  <c r="E288" i="63"/>
  <c r="F446" i="63"/>
  <c r="C33" i="53"/>
  <c r="C23" i="60"/>
  <c r="E192" i="63"/>
  <c r="C212" i="63"/>
  <c r="C61" i="53"/>
  <c r="F212" i="63"/>
  <c r="E68" i="57"/>
  <c r="E84" i="57"/>
  <c r="E213" i="54"/>
  <c r="F75" i="57"/>
  <c r="E5" i="58"/>
  <c r="E420" i="63"/>
  <c r="C406" i="63"/>
  <c r="C36" i="57"/>
  <c r="B146" i="63"/>
  <c r="F344" i="63"/>
  <c r="B49" i="63"/>
  <c r="F39" i="57"/>
  <c r="C30" i="57"/>
  <c r="D254" i="63"/>
  <c r="E169" i="63"/>
  <c r="C249" i="63"/>
  <c r="E284" i="54"/>
  <c r="D7" i="61"/>
  <c r="F447" i="63"/>
  <c r="C382" i="63"/>
  <c r="D3" i="61"/>
  <c r="C96" i="53"/>
  <c r="C115" i="63"/>
  <c r="D439" i="63"/>
  <c r="C235" i="63"/>
  <c r="D214" i="63"/>
  <c r="E4" i="58"/>
  <c r="D386" i="63"/>
  <c r="C77" i="57"/>
  <c r="B10" i="63"/>
  <c r="D9" i="58"/>
  <c r="B445" i="63"/>
  <c r="B418" i="63"/>
  <c r="E14" i="57"/>
  <c r="F250" i="63"/>
  <c r="B301" i="63"/>
  <c r="C13" i="60"/>
  <c r="B113" i="63"/>
  <c r="F39" i="63"/>
  <c r="B194" i="63"/>
  <c r="E135" i="63"/>
  <c r="E79" i="63"/>
  <c r="D14" i="58"/>
  <c r="F143" i="63"/>
  <c r="B245" i="63"/>
  <c r="F27" i="57"/>
  <c r="C9" i="60"/>
  <c r="F7" i="63"/>
  <c r="C23" i="53"/>
  <c r="B3" i="63"/>
  <c r="F32" i="57"/>
  <c r="F107" i="63"/>
  <c r="E263" i="63"/>
  <c r="C330" i="63"/>
  <c r="B65" i="57"/>
  <c r="F348" i="63"/>
  <c r="B266" i="63"/>
  <c r="B42" i="54"/>
  <c r="F10" i="63"/>
  <c r="D19" i="57"/>
  <c r="F108" i="63"/>
  <c r="C27" i="57"/>
  <c r="C105" i="63"/>
  <c r="E118" i="63"/>
  <c r="E66" i="57"/>
  <c r="C438" i="63"/>
  <c r="D236" i="63"/>
  <c r="F62" i="54"/>
  <c r="D183" i="63"/>
  <c r="F87" i="53"/>
  <c r="C243" i="63"/>
  <c r="F283" i="63"/>
  <c r="D230" i="63"/>
  <c r="F241" i="63"/>
  <c r="B322" i="63"/>
  <c r="B379" i="63"/>
  <c r="C283" i="63"/>
  <c r="F23" i="57"/>
  <c r="B433" i="63"/>
  <c r="F84" i="53"/>
  <c r="B441" i="63"/>
  <c r="E378" i="63"/>
  <c r="D147" i="63"/>
  <c r="B101" i="57"/>
  <c r="F259" i="63"/>
  <c r="B263" i="63"/>
  <c r="B153" i="63"/>
  <c r="D56" i="57"/>
  <c r="F52" i="53"/>
  <c r="D60" i="57"/>
  <c r="B15" i="63"/>
  <c r="B17" i="63"/>
  <c r="F372" i="63"/>
  <c r="D26" i="57"/>
  <c r="E18" i="57"/>
  <c r="F57" i="63"/>
  <c r="B195" i="63"/>
  <c r="C38" i="53"/>
  <c r="B275" i="63"/>
  <c r="E178" i="63"/>
  <c r="D94" i="60"/>
  <c r="B260" i="54"/>
  <c r="C68" i="53"/>
  <c r="E222" i="63"/>
  <c r="C362" i="63"/>
  <c r="H146" i="54"/>
  <c r="E346" i="63"/>
  <c r="E97" i="53"/>
  <c r="C244" i="63"/>
  <c r="D116" i="63"/>
  <c r="E24" i="63"/>
  <c r="F111" i="63"/>
  <c r="E73" i="53"/>
  <c r="B60" i="63"/>
  <c r="E72" i="53"/>
  <c r="H209" i="54"/>
  <c r="B199" i="63"/>
  <c r="C183" i="63"/>
  <c r="B55" i="63"/>
  <c r="B27" i="60"/>
  <c r="C328" i="63"/>
  <c r="C245" i="63"/>
  <c r="D21" i="57"/>
  <c r="B156" i="63"/>
  <c r="C10" i="53"/>
  <c r="D358" i="63"/>
  <c r="F204" i="63"/>
  <c r="F346" i="63"/>
  <c r="D164" i="54"/>
  <c r="B250" i="63"/>
  <c r="E204" i="63"/>
  <c r="D34" i="57"/>
  <c r="E193" i="63"/>
  <c r="D275" i="63"/>
  <c r="B404" i="63"/>
  <c r="B264" i="63"/>
  <c r="D127" i="63"/>
  <c r="F325" i="63"/>
  <c r="D366" i="63"/>
  <c r="F388" i="63"/>
  <c r="B81" i="63"/>
  <c r="C45" i="53"/>
  <c r="F438" i="63"/>
  <c r="B36" i="57"/>
  <c r="C201" i="63"/>
  <c r="H13" i="54"/>
  <c r="D164" i="63"/>
  <c r="E274" i="63"/>
  <c r="F26" i="57"/>
  <c r="F155" i="63"/>
  <c r="E2" i="57"/>
  <c r="F390" i="63"/>
  <c r="D274" i="63"/>
  <c r="B173" i="54"/>
  <c r="D35" i="57"/>
  <c r="B244" i="63"/>
  <c r="F51" i="63"/>
  <c r="C49" i="57"/>
  <c r="B274" i="63"/>
  <c r="F339" i="63"/>
  <c r="D124" i="63"/>
  <c r="B391" i="63"/>
  <c r="C299" i="63"/>
  <c r="C39" i="53"/>
  <c r="C46" i="57"/>
  <c r="E35" i="57"/>
  <c r="F154" i="63"/>
  <c r="E264" i="63"/>
  <c r="C83" i="53"/>
  <c r="C263" i="63"/>
  <c r="B96" i="57"/>
  <c r="C93" i="57"/>
  <c r="F366" i="63"/>
  <c r="C403" i="63"/>
  <c r="F7" i="58"/>
  <c r="E212" i="63"/>
  <c r="B365" i="63"/>
  <c r="E87" i="63"/>
  <c r="B353" i="63"/>
  <c r="E23" i="57"/>
  <c r="C37" i="53"/>
  <c r="F91" i="57"/>
  <c r="B57" i="57"/>
  <c r="B249" i="63"/>
  <c r="D7" i="58"/>
  <c r="F237" i="63"/>
  <c r="E205" i="63"/>
  <c r="E258" i="63"/>
  <c r="E287" i="63"/>
  <c r="C257" i="63"/>
  <c r="B281" i="63"/>
  <c r="F337" i="63"/>
  <c r="B72" i="63"/>
  <c r="B259" i="63"/>
  <c r="C414" i="63"/>
  <c r="F171" i="63"/>
  <c r="E292" i="54"/>
  <c r="F244" i="63"/>
  <c r="C346" i="63"/>
  <c r="C136" i="63"/>
  <c r="B178" i="63"/>
  <c r="B235" i="63"/>
  <c r="F310" i="63"/>
  <c r="B74" i="63"/>
  <c r="B311" i="63"/>
  <c r="E21" i="53"/>
  <c r="F94" i="57"/>
  <c r="E267" i="63"/>
  <c r="D91" i="57"/>
  <c r="B267" i="63"/>
  <c r="E63" i="57"/>
  <c r="D9" i="57"/>
  <c r="E366" i="63"/>
  <c r="C49" i="53"/>
  <c r="F70" i="57"/>
  <c r="B328" i="63"/>
  <c r="F135" i="63"/>
  <c r="B190" i="63"/>
  <c r="B97" i="63"/>
  <c r="D300" i="54"/>
  <c r="E443" i="63"/>
  <c r="E279" i="63"/>
  <c r="D4" i="61"/>
  <c r="F82" i="63"/>
  <c r="E434" i="63"/>
  <c r="F45" i="57"/>
  <c r="E26" i="63"/>
  <c r="H292" i="54"/>
  <c r="B17" i="57"/>
  <c r="E334" i="63"/>
  <c r="F349" i="63"/>
  <c r="E221" i="63"/>
  <c r="C375" i="63"/>
  <c r="B182" i="63"/>
  <c r="F120" i="63"/>
  <c r="F222" i="54"/>
  <c r="E345" i="63"/>
  <c r="D89" i="54"/>
  <c r="E72" i="63"/>
  <c r="F147" i="63"/>
  <c r="C64" i="57"/>
  <c r="C178" i="63"/>
  <c r="E415" i="63"/>
  <c r="B277" i="63"/>
  <c r="F428" i="63"/>
  <c r="D47" i="60"/>
  <c r="F429" i="63"/>
  <c r="E35" i="63"/>
  <c r="B20" i="54"/>
  <c r="B83" i="57"/>
  <c r="D131" i="63"/>
  <c r="F110" i="63"/>
  <c r="F103" i="63"/>
  <c r="F6" i="53"/>
  <c r="B144" i="63"/>
  <c r="B282" i="63"/>
  <c r="C8" i="57"/>
  <c r="F82" i="53"/>
  <c r="C51" i="60"/>
  <c r="D99" i="60"/>
  <c r="B95" i="57"/>
  <c r="B10" i="57"/>
  <c r="B96" i="63"/>
  <c r="F336" i="63"/>
  <c r="B61" i="63"/>
  <c r="B414" i="63"/>
  <c r="D33" i="57"/>
  <c r="B65" i="60"/>
  <c r="C8" i="53"/>
  <c r="B318" i="63"/>
  <c r="B227" i="63"/>
  <c r="F34" i="63"/>
  <c r="C71" i="53"/>
  <c r="E60" i="57"/>
  <c r="F140" i="63"/>
  <c r="C31" i="57"/>
  <c r="D17" i="58"/>
  <c r="D8" i="57"/>
  <c r="B241" i="63"/>
  <c r="F249" i="63"/>
  <c r="C209" i="63"/>
  <c r="F226" i="63"/>
  <c r="D405" i="63"/>
  <c r="B359" i="63"/>
  <c r="E66" i="63"/>
  <c r="B59" i="63"/>
  <c r="B423" i="63"/>
  <c r="F49" i="57"/>
  <c r="D100" i="57"/>
  <c r="C224" i="63"/>
  <c r="B87" i="57"/>
  <c r="B214" i="63"/>
  <c r="C77" i="53"/>
  <c r="C322" i="63"/>
  <c r="F150" i="63"/>
  <c r="B147" i="63"/>
  <c r="B208" i="63"/>
  <c r="C78" i="60"/>
  <c r="C91" i="53"/>
  <c r="B248" i="63"/>
  <c r="C344" i="63"/>
  <c r="F407" i="63"/>
  <c r="C383" i="63"/>
  <c r="B367" i="63"/>
  <c r="D202" i="63"/>
  <c r="F55" i="63"/>
  <c r="D39" i="57"/>
  <c r="C42" i="53"/>
  <c r="D65" i="57"/>
  <c r="B427" i="63"/>
  <c r="E64" i="54"/>
  <c r="C7" i="57"/>
  <c r="F127" i="63"/>
  <c r="B221" i="63"/>
  <c r="B425" i="63"/>
  <c r="B9" i="57"/>
  <c r="F58" i="57"/>
  <c r="B191" i="63"/>
  <c r="B242" i="63"/>
  <c r="B451" i="63"/>
  <c r="F222" i="63"/>
  <c r="D326" i="63"/>
  <c r="E446" i="63"/>
  <c r="D97" i="57"/>
  <c r="B54" i="57"/>
  <c r="D306" i="63"/>
  <c r="C287" i="63"/>
  <c r="B100" i="57"/>
  <c r="F52" i="57"/>
  <c r="F170" i="63"/>
  <c r="D4" i="57"/>
  <c r="E121" i="54"/>
  <c r="H190" i="54"/>
  <c r="F285" i="63"/>
  <c r="E243" i="63"/>
  <c r="F100" i="63"/>
  <c r="E277" i="63"/>
  <c r="F329" i="63"/>
  <c r="B63" i="57"/>
  <c r="E317" i="63"/>
  <c r="B278" i="63"/>
  <c r="F65" i="63"/>
  <c r="B212" i="63"/>
  <c r="B390" i="63"/>
  <c r="B188" i="63"/>
  <c r="B303" i="63"/>
  <c r="F288" i="63"/>
  <c r="D251" i="63"/>
  <c r="B50" i="57"/>
  <c r="F253" i="54"/>
  <c r="B384" i="63"/>
  <c r="D85" i="60"/>
  <c r="H43" i="54"/>
  <c r="E214" i="63"/>
  <c r="F68" i="57"/>
  <c r="D136" i="63"/>
  <c r="F386" i="63"/>
  <c r="F119" i="63"/>
  <c r="E176" i="63"/>
  <c r="F54" i="63"/>
  <c r="E164" i="63"/>
  <c r="F186" i="63"/>
  <c r="B84" i="54"/>
  <c r="B85" i="53"/>
  <c r="F181" i="63"/>
  <c r="C25" i="60"/>
  <c r="D350" i="63"/>
  <c r="E22" i="53"/>
  <c r="C353" i="63"/>
  <c r="C18" i="57"/>
  <c r="D75" i="57"/>
  <c r="F14" i="57"/>
  <c r="E41" i="57"/>
  <c r="C122" i="63"/>
  <c r="D415" i="63"/>
  <c r="H67" i="54"/>
  <c r="E101" i="57"/>
  <c r="E282" i="63"/>
  <c r="B76" i="57"/>
  <c r="F91" i="63"/>
  <c r="B4" i="63"/>
  <c r="C70" i="53"/>
  <c r="B98" i="57"/>
  <c r="B24" i="57"/>
  <c r="F395" i="63"/>
  <c r="D47" i="54"/>
  <c r="E80" i="63"/>
  <c r="B38" i="63"/>
  <c r="B223" i="63"/>
  <c r="B77" i="63"/>
  <c r="B246" i="63"/>
  <c r="C207" i="63"/>
  <c r="F128" i="63"/>
  <c r="F9" i="58"/>
  <c r="B335" i="63"/>
  <c r="C390" i="63"/>
  <c r="F179" i="54"/>
  <c r="F57" i="53"/>
  <c r="F142" i="63"/>
  <c r="C176" i="63"/>
  <c r="E327" i="63"/>
  <c r="B169" i="63"/>
  <c r="E11" i="57"/>
  <c r="D44" i="57"/>
  <c r="B8" i="57"/>
  <c r="D178" i="63"/>
  <c r="C177" i="63"/>
  <c r="E130" i="63"/>
  <c r="D277" i="63"/>
  <c r="B118" i="63"/>
  <c r="C32" i="53"/>
  <c r="C48" i="53"/>
  <c r="F51" i="57"/>
  <c r="B399" i="63"/>
  <c r="C99" i="53"/>
  <c r="B67" i="60"/>
  <c r="B60" i="60"/>
  <c r="B401" i="63"/>
  <c r="D64" i="57"/>
  <c r="F327" i="63"/>
  <c r="C85" i="53"/>
  <c r="F436" i="63"/>
  <c r="D76" i="57"/>
  <c r="B386" i="63"/>
  <c r="E19" i="58"/>
  <c r="C343" i="63"/>
  <c r="D95" i="57"/>
  <c r="B36" i="60"/>
  <c r="E312" i="63"/>
  <c r="F86" i="63"/>
  <c r="E330" i="63"/>
  <c r="F102" i="63"/>
  <c r="F105" i="63"/>
  <c r="B424" i="63"/>
  <c r="F12" i="57"/>
  <c r="D67" i="57"/>
  <c r="B23" i="60"/>
  <c r="C371" i="63"/>
  <c r="E33" i="57"/>
  <c r="B102" i="63"/>
  <c r="B272" i="63"/>
  <c r="B265" i="63"/>
  <c r="D409" i="63"/>
  <c r="D407" i="63"/>
  <c r="D22" i="60"/>
  <c r="D212" i="63"/>
  <c r="B315" i="63"/>
  <c r="C84" i="53"/>
  <c r="B354" i="63"/>
  <c r="E419" i="63"/>
  <c r="B35" i="63"/>
  <c r="F95" i="57"/>
  <c r="E76" i="57"/>
  <c r="E75" i="57"/>
  <c r="F41" i="57"/>
  <c r="E410" i="63"/>
  <c r="F16" i="63"/>
  <c r="D323" i="63"/>
  <c r="H171" i="54"/>
  <c r="B406" i="63"/>
  <c r="E286" i="63"/>
  <c r="B5" i="57"/>
  <c r="B255" i="63"/>
  <c r="C12" i="57"/>
  <c r="D41" i="57"/>
  <c r="F375" i="63"/>
  <c r="D435" i="63"/>
  <c r="F97" i="57"/>
  <c r="F423" i="63"/>
  <c r="C92" i="53"/>
  <c r="B171" i="63"/>
  <c r="C10" i="57"/>
  <c r="D300" i="63"/>
  <c r="D408" i="63"/>
  <c r="D145" i="63"/>
  <c r="B168" i="54"/>
  <c r="D394" i="63"/>
  <c r="D170" i="63"/>
  <c r="D289" i="63"/>
  <c r="F17" i="53"/>
  <c r="B86" i="60"/>
  <c r="B48" i="57"/>
  <c r="E3" i="57"/>
  <c r="C65" i="57"/>
  <c r="D434" i="63"/>
  <c r="F36" i="54"/>
  <c r="E359" i="63"/>
  <c r="E5" i="53"/>
  <c r="C29" i="57"/>
  <c r="D54" i="54"/>
  <c r="D296" i="54"/>
  <c r="C250" i="63"/>
  <c r="B21" i="63"/>
  <c r="B287" i="63"/>
  <c r="E3" i="63"/>
  <c r="C34" i="57"/>
  <c r="C62" i="60"/>
  <c r="D397" i="63"/>
  <c r="E99" i="57"/>
  <c r="B361" i="63"/>
  <c r="E117" i="63"/>
  <c r="F43" i="63"/>
  <c r="D427" i="63"/>
  <c r="F277" i="63"/>
  <c r="C187" i="63"/>
  <c r="E94" i="57"/>
  <c r="D69" i="57"/>
  <c r="E37" i="57"/>
  <c r="F197" i="63"/>
  <c r="F248" i="63"/>
  <c r="C18" i="53"/>
  <c r="B128" i="63"/>
  <c r="B270" i="63"/>
  <c r="B222" i="63"/>
  <c r="F72" i="63"/>
  <c r="C54" i="57"/>
  <c r="F399" i="63"/>
  <c r="F74" i="57"/>
  <c r="E87" i="57"/>
  <c r="E245" i="63"/>
  <c r="F174" i="63"/>
  <c r="F373" i="63"/>
  <c r="C4" i="60"/>
  <c r="E24" i="57"/>
  <c r="B268" i="63"/>
  <c r="F220" i="63"/>
  <c r="B202" i="63"/>
  <c r="F324" i="63"/>
  <c r="C295" i="63"/>
  <c r="F154" i="54"/>
  <c r="E63" i="63"/>
  <c r="D410" i="63"/>
  <c r="B94" i="57"/>
  <c r="F50" i="63"/>
  <c r="B79" i="60"/>
  <c r="F302" i="63"/>
  <c r="B47" i="63"/>
  <c r="B7" i="57"/>
  <c r="F48" i="57"/>
  <c r="F258" i="63"/>
  <c r="E361" i="63"/>
  <c r="D32" i="57"/>
  <c r="F421" i="63"/>
  <c r="B64" i="63"/>
  <c r="D12" i="58"/>
  <c r="F44" i="54"/>
  <c r="F92" i="63"/>
  <c r="E8" i="57"/>
  <c r="F5" i="58"/>
  <c r="F200" i="63"/>
  <c r="D224" i="63"/>
  <c r="C32" i="57"/>
  <c r="F16" i="57"/>
  <c r="C255" i="63"/>
  <c r="D42" i="57"/>
  <c r="F361" i="63"/>
  <c r="C5" i="57"/>
  <c r="C215" i="63"/>
  <c r="C270" i="63"/>
  <c r="F412" i="63"/>
  <c r="E356" i="63"/>
  <c r="E126" i="63"/>
  <c r="D27" i="57"/>
  <c r="F358" i="63"/>
  <c r="B71" i="57"/>
  <c r="D43" i="60"/>
  <c r="B79" i="63"/>
  <c r="E114" i="63"/>
  <c r="E269" i="63"/>
  <c r="D121" i="63"/>
  <c r="E143" i="63"/>
  <c r="H109" i="54"/>
  <c r="B288" i="63"/>
  <c r="B167" i="63"/>
  <c r="F424" i="63"/>
  <c r="B417" i="63"/>
  <c r="B45" i="63"/>
  <c r="F50" i="57"/>
  <c r="B295" i="63"/>
  <c r="E353" i="63"/>
  <c r="F77" i="57"/>
  <c r="C158" i="63"/>
  <c r="F430" i="63"/>
  <c r="B240" i="63"/>
  <c r="B176" i="63"/>
  <c r="F158" i="63"/>
  <c r="E115" i="63"/>
  <c r="B375" i="63"/>
  <c r="H159" i="54"/>
  <c r="F137" i="63"/>
  <c r="C327" i="63"/>
  <c r="E46" i="53"/>
  <c r="D375" i="63"/>
  <c r="B65" i="63"/>
  <c r="D177" i="63"/>
  <c r="C65" i="60"/>
  <c r="E140" i="54"/>
  <c r="D13" i="58"/>
  <c r="D122" i="63"/>
  <c r="F271" i="63"/>
  <c r="B82" i="60"/>
  <c r="F124" i="63"/>
  <c r="B263" i="54"/>
  <c r="C86" i="57"/>
  <c r="B366" i="63"/>
  <c r="D221" i="54"/>
  <c r="C409" i="63"/>
  <c r="C65" i="53"/>
  <c r="E43" i="57"/>
  <c r="C155" i="63"/>
  <c r="B279" i="63"/>
  <c r="D339" i="63"/>
  <c r="E278" i="63"/>
  <c r="D238" i="63"/>
  <c r="B243" i="63"/>
  <c r="D308" i="63"/>
  <c r="E178" i="54"/>
  <c r="C31" i="53"/>
  <c r="F2" i="63"/>
  <c r="C66" i="53"/>
  <c r="D18" i="57"/>
  <c r="B78" i="63"/>
  <c r="F190" i="63"/>
  <c r="C386" i="63"/>
  <c r="E226" i="63"/>
  <c r="D446" i="63"/>
  <c r="H241" i="54"/>
  <c r="C416" i="63"/>
  <c r="E305" i="63"/>
  <c r="B22" i="63"/>
  <c r="B225" i="63"/>
  <c r="D360" i="63"/>
  <c r="F216" i="63"/>
  <c r="B11" i="63"/>
  <c r="H284" i="54"/>
  <c r="E295" i="63"/>
  <c r="E81" i="57"/>
  <c r="D172" i="63"/>
  <c r="H103" i="54"/>
  <c r="E413" i="63"/>
  <c r="E58" i="57"/>
  <c r="C88" i="57"/>
  <c r="F425" i="63"/>
  <c r="F371" i="63"/>
  <c r="F269" i="63"/>
  <c r="F38" i="63"/>
  <c r="F31" i="57"/>
  <c r="E389" i="63"/>
  <c r="F96" i="53"/>
  <c r="E234" i="63"/>
  <c r="B253" i="63"/>
  <c r="B205" i="63"/>
  <c r="B123" i="63"/>
  <c r="C222" i="63"/>
  <c r="D8" i="60"/>
  <c r="E271" i="63"/>
  <c r="C118" i="63"/>
  <c r="B186" i="63"/>
  <c r="B15" i="57"/>
  <c r="F167" i="63"/>
  <c r="F193" i="63"/>
  <c r="B131" i="63"/>
  <c r="B42" i="63"/>
  <c r="C72" i="53"/>
  <c r="F19" i="63"/>
  <c r="B408" i="63"/>
  <c r="F44" i="57"/>
  <c r="B192" i="63"/>
  <c r="D355" i="63"/>
  <c r="F408" i="63"/>
  <c r="B238" i="63"/>
  <c r="C52" i="53"/>
  <c r="E153" i="63"/>
  <c r="E253" i="63"/>
  <c r="F217" i="63"/>
  <c r="D20" i="58"/>
  <c r="F62" i="57"/>
  <c r="C202" i="63"/>
  <c r="C95" i="57"/>
  <c r="B189" i="63"/>
  <c r="C179" i="63"/>
  <c r="F53" i="57"/>
  <c r="C69" i="53"/>
  <c r="B412" i="63"/>
  <c r="F282" i="63"/>
  <c r="D19" i="60"/>
  <c r="F139" i="63"/>
  <c r="D29" i="57"/>
  <c r="D337" i="63"/>
  <c r="F165" i="63"/>
  <c r="D78" i="57"/>
  <c r="C153" i="63"/>
  <c r="C82" i="53"/>
  <c r="B78" i="57"/>
  <c r="F54" i="57"/>
  <c r="B98" i="63"/>
  <c r="D310" i="63"/>
  <c r="C213" i="63"/>
  <c r="C13" i="53"/>
  <c r="C347" i="63"/>
  <c r="C431" i="63"/>
  <c r="B313" i="63"/>
  <c r="B385" i="63"/>
  <c r="F402" i="63"/>
  <c r="C195" i="63"/>
  <c r="F86" i="54"/>
  <c r="F307" i="63"/>
  <c r="D191" i="63"/>
  <c r="E8" i="63"/>
  <c r="F377" i="63"/>
  <c r="F384" i="63"/>
  <c r="C93" i="60"/>
  <c r="F160" i="54"/>
  <c r="F89" i="53"/>
  <c r="B442" i="63"/>
  <c r="B2" i="60"/>
  <c r="B419" i="63"/>
  <c r="C50" i="57"/>
  <c r="H100" i="54"/>
  <c r="C186" i="63"/>
  <c r="E162" i="54"/>
  <c r="B116" i="63"/>
  <c r="H49" i="54"/>
  <c r="F86" i="57"/>
  <c r="E44" i="63"/>
  <c r="F121" i="63"/>
  <c r="B374" i="63"/>
  <c r="C17" i="60"/>
  <c r="C61" i="57"/>
  <c r="B446" i="63"/>
  <c r="E64" i="57"/>
  <c r="E59" i="57"/>
  <c r="D162" i="54"/>
  <c r="B92" i="63"/>
  <c r="F239" i="63"/>
  <c r="E260" i="63"/>
  <c r="E21" i="63"/>
  <c r="F15" i="63"/>
  <c r="D57" i="57"/>
  <c r="F383" i="63"/>
  <c r="B295" i="54"/>
  <c r="D10" i="58"/>
  <c r="E50" i="57"/>
  <c r="D398" i="63"/>
  <c r="F161" i="63"/>
  <c r="E377" i="63"/>
  <c r="E197" i="63"/>
  <c r="F15" i="57"/>
  <c r="D225" i="63"/>
  <c r="C47" i="53"/>
  <c r="C437" i="63"/>
  <c r="D307" i="63"/>
  <c r="D285" i="54"/>
  <c r="F83" i="53"/>
  <c r="F443" i="63"/>
  <c r="B273" i="63"/>
  <c r="C24" i="57"/>
  <c r="B71" i="63"/>
  <c r="F89" i="57"/>
  <c r="B402" i="63"/>
  <c r="B14" i="60"/>
  <c r="B136" i="63"/>
  <c r="C19" i="53"/>
  <c r="C151" i="63"/>
  <c r="E61" i="53"/>
  <c r="F164" i="63"/>
  <c r="E96" i="63"/>
  <c r="E14" i="53"/>
  <c r="D3" i="58"/>
  <c r="D295" i="63"/>
  <c r="E195" i="54"/>
  <c r="B85" i="63"/>
  <c r="B382" i="63"/>
  <c r="F47" i="63"/>
  <c r="B260" i="63"/>
  <c r="C233" i="63"/>
  <c r="E291" i="63"/>
  <c r="D378" i="63"/>
  <c r="F31" i="63"/>
  <c r="E13" i="57"/>
  <c r="F181" i="54"/>
  <c r="B420" i="63"/>
  <c r="F95" i="63"/>
  <c r="D6" i="58"/>
  <c r="F8" i="57"/>
  <c r="C440" i="63"/>
  <c r="F276" i="63"/>
  <c r="D426" i="63"/>
  <c r="B309" i="63"/>
  <c r="F113" i="63"/>
  <c r="B53" i="63"/>
  <c r="C128" i="63"/>
  <c r="E193" i="54"/>
  <c r="F41" i="53"/>
  <c r="E173" i="54"/>
  <c r="B13" i="63"/>
  <c r="B39" i="63"/>
  <c r="F91" i="53"/>
  <c r="D14" i="57"/>
  <c r="F100" i="57"/>
  <c r="E217" i="63"/>
  <c r="D44" i="60"/>
  <c r="F252" i="63"/>
  <c r="F27" i="54"/>
  <c r="B97" i="57"/>
  <c r="B18" i="63"/>
  <c r="F240" i="63"/>
  <c r="D193" i="63"/>
  <c r="C324" i="63"/>
  <c r="F18" i="63"/>
  <c r="E69" i="57"/>
  <c r="D93" i="60"/>
  <c r="B253" i="54"/>
  <c r="B74" i="60"/>
  <c r="E72" i="54"/>
  <c r="B49" i="57"/>
  <c r="B48" i="63"/>
  <c r="D79" i="57"/>
  <c r="E424" i="63"/>
  <c r="H165" i="54"/>
  <c r="F80" i="57"/>
  <c r="C55" i="53"/>
  <c r="H5" i="54"/>
  <c r="E239" i="63"/>
  <c r="F38" i="54"/>
  <c r="B269" i="54"/>
  <c r="E79" i="57"/>
  <c r="D269" i="63"/>
  <c r="B251" i="63"/>
  <c r="B228" i="63"/>
  <c r="B75" i="63"/>
  <c r="E225" i="63"/>
  <c r="D338" i="63"/>
  <c r="F228" i="63"/>
  <c r="E25" i="63"/>
  <c r="E90" i="57"/>
  <c r="D234" i="63"/>
  <c r="F145" i="63"/>
  <c r="C55" i="60"/>
  <c r="B14" i="63"/>
  <c r="C73" i="53"/>
  <c r="D21" i="60"/>
  <c r="F46" i="63"/>
  <c r="B157" i="63"/>
  <c r="C64" i="53"/>
  <c r="E414" i="63"/>
  <c r="C129" i="63"/>
  <c r="C28" i="57"/>
  <c r="F188" i="54"/>
  <c r="E158" i="63"/>
  <c r="E93" i="57"/>
  <c r="B77" i="57"/>
  <c r="C426" i="63"/>
  <c r="B112" i="63"/>
  <c r="B258" i="63"/>
  <c r="C140" i="63"/>
  <c r="F234" i="63"/>
  <c r="C8" i="60"/>
  <c r="B145" i="63"/>
  <c r="D5" i="57"/>
  <c r="D49" i="57"/>
  <c r="E89" i="63"/>
  <c r="D144" i="63"/>
  <c r="E450" i="63"/>
  <c r="B91" i="57"/>
  <c r="C281" i="63"/>
  <c r="C412" i="63"/>
  <c r="B220" i="63"/>
  <c r="F306" i="63"/>
  <c r="C24" i="60"/>
  <c r="B135" i="63"/>
  <c r="H59" i="54"/>
  <c r="F42" i="57"/>
  <c r="E65" i="57"/>
  <c r="C87" i="60"/>
  <c r="B164" i="63"/>
  <c r="B50" i="63"/>
  <c r="C6" i="61"/>
  <c r="C114" i="63"/>
  <c r="F409" i="63"/>
  <c r="B317" i="63"/>
  <c r="B33" i="63"/>
  <c r="D314" i="63"/>
  <c r="F314" i="63"/>
  <c r="D400" i="63"/>
  <c r="F45" i="53"/>
  <c r="F32" i="53"/>
  <c r="F294" i="63"/>
  <c r="C88" i="60"/>
  <c r="C76" i="53"/>
  <c r="E294" i="63"/>
  <c r="F61" i="63"/>
  <c r="C16" i="53"/>
  <c r="D429" i="63"/>
  <c r="C339" i="63"/>
  <c r="D10" i="57"/>
  <c r="E179" i="63"/>
  <c r="C100" i="53"/>
  <c r="F19" i="53"/>
  <c r="B176" i="54"/>
  <c r="E19" i="57"/>
  <c r="D218" i="63"/>
  <c r="F374" i="63"/>
  <c r="F46" i="53"/>
  <c r="E281" i="63"/>
  <c r="F230" i="54"/>
  <c r="B96" i="54"/>
  <c r="E403" i="63"/>
  <c r="E240" i="63"/>
  <c r="D293" i="63"/>
  <c r="D21" i="58"/>
  <c r="F441" i="63"/>
  <c r="D235" i="63"/>
  <c r="B415" i="63"/>
  <c r="F3" i="53"/>
  <c r="B19" i="54"/>
  <c r="C94" i="60"/>
  <c r="D419" i="63"/>
  <c r="F146" i="63"/>
  <c r="B129" i="63"/>
  <c r="H270" i="54"/>
  <c r="C80" i="53"/>
  <c r="B165" i="63"/>
  <c r="B284" i="63"/>
  <c r="E211" i="63"/>
  <c r="D199" i="63"/>
  <c r="E106" i="63"/>
  <c r="C35" i="60"/>
  <c r="B107" i="63"/>
  <c r="C14" i="53"/>
  <c r="B74" i="57"/>
  <c r="D327" i="63"/>
  <c r="F172" i="63"/>
  <c r="D219" i="63"/>
  <c r="F235" i="63"/>
  <c r="F311" i="63"/>
  <c r="B440" i="63"/>
  <c r="E96" i="57"/>
  <c r="F156" i="63"/>
  <c r="D135" i="63"/>
  <c r="F159" i="63"/>
  <c r="F85" i="63"/>
  <c r="B305" i="63"/>
  <c r="C258" i="63"/>
  <c r="H132" i="54"/>
  <c r="B84" i="63"/>
  <c r="B356" i="63"/>
  <c r="E101" i="63"/>
  <c r="B141" i="54"/>
  <c r="B336" i="63"/>
  <c r="B237" i="63"/>
  <c r="F50" i="53"/>
  <c r="F20" i="53"/>
  <c r="E45" i="63"/>
  <c r="C208" i="63"/>
  <c r="B439" i="63"/>
  <c r="C10" i="60"/>
  <c r="D371" i="63"/>
  <c r="B150" i="54"/>
  <c r="D23" i="57"/>
  <c r="E21" i="58"/>
  <c r="B7" i="63"/>
  <c r="B25" i="63"/>
  <c r="F72" i="53"/>
  <c r="F238" i="63"/>
  <c r="E323" i="63"/>
  <c r="B435" i="63"/>
  <c r="F173" i="63"/>
  <c r="E87" i="53"/>
  <c r="B204" i="63"/>
  <c r="E265" i="54"/>
  <c r="B91" i="60"/>
  <c r="C81" i="53"/>
  <c r="F396" i="63"/>
  <c r="D278" i="63"/>
  <c r="E54" i="57"/>
  <c r="B63" i="60"/>
  <c r="D29" i="60"/>
  <c r="B109" i="63"/>
  <c r="E86" i="53"/>
  <c r="C117" i="63"/>
  <c r="C51" i="57"/>
  <c r="H92" i="54"/>
  <c r="C125" i="63"/>
  <c r="B247" i="63"/>
  <c r="D45" i="57"/>
  <c r="F28" i="53"/>
  <c r="C413" i="63"/>
  <c r="D7" i="57"/>
  <c r="F228" i="54"/>
  <c r="B62" i="57"/>
  <c r="C13" i="57"/>
  <c r="B80" i="60"/>
  <c r="B381" i="63"/>
  <c r="F211" i="54"/>
  <c r="D89" i="60"/>
  <c r="B177" i="63"/>
  <c r="H221" i="54"/>
  <c r="C35" i="57"/>
  <c r="C30" i="60"/>
  <c r="E248" i="54"/>
  <c r="H23" i="54"/>
  <c r="D98" i="57"/>
  <c r="E98" i="57"/>
  <c r="C198" i="63"/>
  <c r="F213" i="54"/>
  <c r="C67" i="60"/>
  <c r="D247" i="63"/>
  <c r="C68" i="60"/>
  <c r="D80" i="63"/>
  <c r="H93" i="54"/>
  <c r="E254" i="54"/>
  <c r="B149" i="54"/>
  <c r="C55" i="57"/>
  <c r="F352" i="63"/>
  <c r="F57" i="57"/>
  <c r="E343" i="63"/>
  <c r="C377" i="63"/>
  <c r="F313" i="63"/>
  <c r="E227" i="54"/>
  <c r="C15" i="60"/>
  <c r="C19" i="57"/>
  <c r="D38" i="60"/>
  <c r="F194" i="63"/>
  <c r="C43" i="63"/>
  <c r="F67" i="57"/>
  <c r="E72" i="57"/>
  <c r="D88" i="54"/>
  <c r="F292" i="63"/>
  <c r="F163" i="63"/>
  <c r="D30" i="60"/>
  <c r="E105" i="54"/>
  <c r="D108" i="54"/>
  <c r="E69" i="54"/>
  <c r="C4" i="61"/>
  <c r="F97" i="53"/>
  <c r="F217" i="54"/>
  <c r="B290" i="63"/>
  <c r="B377" i="63"/>
  <c r="E78" i="57"/>
  <c r="E417" i="63"/>
  <c r="B409" i="63"/>
  <c r="C310" i="63"/>
  <c r="C50" i="60"/>
  <c r="E32" i="57"/>
  <c r="B450" i="63"/>
  <c r="B393" i="63"/>
  <c r="E162" i="63"/>
  <c r="B431" i="63"/>
  <c r="D23" i="60"/>
  <c r="C291" i="63"/>
  <c r="D27" i="60"/>
  <c r="F297" i="63"/>
  <c r="E21" i="57"/>
  <c r="C56" i="57"/>
  <c r="C25" i="53"/>
  <c r="E137" i="63"/>
  <c r="D73" i="60"/>
  <c r="D2" i="60"/>
  <c r="C422" i="63"/>
  <c r="B405" i="63"/>
  <c r="F51" i="53"/>
  <c r="E422" i="63"/>
  <c r="C260" i="63"/>
  <c r="D226" i="63"/>
  <c r="C162" i="63"/>
  <c r="C282" i="63"/>
  <c r="E325" i="63"/>
  <c r="F278" i="63"/>
  <c r="C83" i="60"/>
  <c r="C33" i="57"/>
  <c r="B46" i="54"/>
  <c r="B256" i="63"/>
  <c r="D69" i="60"/>
  <c r="D46" i="60"/>
  <c r="B187" i="63"/>
  <c r="E382" i="63"/>
  <c r="D100" i="60"/>
  <c r="E148" i="63"/>
  <c r="B185" i="63"/>
  <c r="F38" i="53"/>
  <c r="B5" i="63"/>
  <c r="E154" i="63"/>
  <c r="C411" i="63"/>
  <c r="E387" i="63"/>
  <c r="D285" i="63"/>
  <c r="B56" i="57"/>
  <c r="E199" i="63"/>
  <c r="C167" i="63"/>
  <c r="D20" i="57"/>
  <c r="F25" i="57"/>
  <c r="D206" i="63"/>
  <c r="D52" i="57"/>
  <c r="C434" i="63"/>
  <c r="D23" i="54"/>
  <c r="F41" i="63"/>
  <c r="B407" i="63"/>
  <c r="D87" i="54"/>
  <c r="D318" i="63"/>
  <c r="C47" i="57"/>
  <c r="D404" i="63"/>
  <c r="D13" i="57"/>
  <c r="D143" i="63"/>
  <c r="D288" i="54"/>
  <c r="F47" i="57"/>
  <c r="B394" i="63"/>
  <c r="F183" i="63"/>
  <c r="E169" i="54"/>
  <c r="F286" i="63"/>
  <c r="B234" i="63"/>
  <c r="E196" i="63"/>
  <c r="E34" i="63"/>
  <c r="E70" i="53"/>
  <c r="B61" i="54"/>
  <c r="B271" i="63"/>
  <c r="C271" i="63"/>
  <c r="E250" i="63"/>
  <c r="C133" i="63"/>
  <c r="B71" i="54"/>
  <c r="B392" i="63"/>
  <c r="C9" i="53"/>
  <c r="E101" i="53"/>
  <c r="C79" i="53"/>
  <c r="E52" i="53"/>
  <c r="C442" i="63"/>
  <c r="C103" i="63"/>
  <c r="H182" i="54"/>
  <c r="D96" i="63"/>
  <c r="B223" i="54"/>
  <c r="H118" i="54"/>
  <c r="E167" i="63"/>
  <c r="F106" i="54"/>
  <c r="B27" i="57"/>
  <c r="B79" i="57"/>
  <c r="B119" i="63"/>
  <c r="F68" i="63"/>
  <c r="F26" i="63"/>
  <c r="F434" i="63"/>
  <c r="H231" i="54"/>
  <c r="B422" i="63"/>
  <c r="D93" i="57"/>
  <c r="D48" i="57"/>
  <c r="B215" i="63"/>
  <c r="E215" i="63"/>
  <c r="E27" i="57"/>
  <c r="F223" i="63"/>
  <c r="D182" i="63"/>
  <c r="B236" i="63"/>
  <c r="E218" i="63"/>
  <c r="F257" i="63"/>
  <c r="B12" i="63"/>
  <c r="C90" i="53"/>
  <c r="F66" i="53"/>
  <c r="F49" i="63"/>
  <c r="C75" i="60"/>
  <c r="F178" i="63"/>
  <c r="C232" i="63"/>
  <c r="D89" i="57"/>
  <c r="B138" i="63"/>
  <c r="F242" i="63"/>
  <c r="C427" i="63"/>
  <c r="F385" i="63"/>
  <c r="D335" i="63"/>
  <c r="B302" i="63"/>
  <c r="F3" i="63"/>
  <c r="E338" i="63"/>
  <c r="D121" i="54"/>
  <c r="C91" i="57"/>
  <c r="E148" i="54"/>
  <c r="F25" i="63"/>
  <c r="E393" i="63"/>
  <c r="E451" i="63"/>
  <c r="D217" i="54"/>
  <c r="D78" i="60"/>
  <c r="D266" i="63"/>
  <c r="B434" i="63"/>
  <c r="C254" i="63"/>
  <c r="B87" i="63"/>
  <c r="E266" i="63"/>
  <c r="F55" i="57"/>
  <c r="H188" i="54"/>
  <c r="D37" i="60"/>
  <c r="F104" i="63"/>
  <c r="E10" i="53"/>
  <c r="D51" i="60"/>
  <c r="C297" i="63"/>
  <c r="B372" i="63"/>
  <c r="F10" i="58"/>
  <c r="E107" i="63"/>
  <c r="C211" i="63"/>
  <c r="F61" i="57"/>
  <c r="B46" i="63"/>
  <c r="F161" i="54"/>
  <c r="F270" i="63"/>
  <c r="F303" i="63"/>
  <c r="C94" i="53"/>
  <c r="F427" i="63"/>
  <c r="F354" i="63"/>
  <c r="E183" i="63"/>
  <c r="F20" i="63"/>
  <c r="C14" i="57"/>
  <c r="E71" i="53"/>
  <c r="C432" i="63"/>
  <c r="B22" i="57"/>
  <c r="B333" i="63"/>
  <c r="E402" i="63"/>
  <c r="B346" i="63"/>
  <c r="B72" i="60"/>
  <c r="D287" i="63"/>
  <c r="B300" i="63"/>
  <c r="F368" i="63"/>
  <c r="B348" i="63"/>
  <c r="E55" i="53"/>
  <c r="C74" i="53"/>
  <c r="C42" i="57"/>
  <c r="F98" i="57"/>
  <c r="B403" i="63"/>
  <c r="B46" i="57"/>
  <c r="F363" i="63"/>
  <c r="B106" i="63"/>
  <c r="B432" i="63"/>
  <c r="C58" i="57"/>
  <c r="E88" i="63"/>
  <c r="D243" i="63"/>
  <c r="E31" i="63"/>
  <c r="B285" i="63"/>
  <c r="D283" i="54"/>
  <c r="E437" i="63"/>
  <c r="E242" i="63"/>
  <c r="F414" i="63"/>
  <c r="C44" i="53"/>
  <c r="F177" i="63"/>
  <c r="E62" i="57"/>
  <c r="D115" i="63"/>
  <c r="F260" i="63"/>
  <c r="B326" i="63"/>
  <c r="F32" i="63"/>
  <c r="B24" i="63"/>
  <c r="C7" i="53"/>
  <c r="F125" i="54"/>
  <c r="C71" i="60"/>
  <c r="E26" i="53"/>
  <c r="B210" i="63"/>
  <c r="C180" i="63"/>
  <c r="D53" i="54"/>
  <c r="F315" i="63"/>
  <c r="F12" i="58"/>
  <c r="F187" i="63"/>
  <c r="B16" i="57"/>
  <c r="F188" i="63"/>
  <c r="E12" i="57"/>
  <c r="E54" i="53"/>
  <c r="C2" i="53"/>
  <c r="B4" i="60"/>
  <c r="B430" i="63"/>
  <c r="B64" i="57"/>
  <c r="D134" i="54"/>
  <c r="B27" i="53"/>
  <c r="B33" i="57"/>
  <c r="F263" i="63"/>
  <c r="D384" i="63"/>
  <c r="F63" i="63"/>
  <c r="D436" i="63"/>
  <c r="B80" i="57"/>
  <c r="C415" i="63"/>
  <c r="F53" i="63"/>
  <c r="C89" i="60"/>
  <c r="C20" i="60"/>
  <c r="D364" i="63"/>
  <c r="D94" i="57"/>
  <c r="C36" i="60"/>
  <c r="F232" i="63"/>
  <c r="C70" i="57"/>
  <c r="B324" i="63"/>
  <c r="D36" i="57"/>
  <c r="E124" i="63"/>
  <c r="C22" i="60"/>
  <c r="C169" i="63"/>
  <c r="B316" i="63"/>
  <c r="H262" i="54"/>
  <c r="F80" i="63"/>
  <c r="B78" i="60"/>
  <c r="D61" i="60"/>
  <c r="F208" i="63"/>
  <c r="E41" i="53"/>
  <c r="E376" i="63"/>
  <c r="D33" i="60"/>
  <c r="B159" i="54"/>
  <c r="C423" i="63"/>
  <c r="E91" i="57"/>
  <c r="F90" i="63"/>
  <c r="F159" i="54"/>
  <c r="D260" i="63"/>
  <c r="D188" i="63"/>
  <c r="B72" i="57"/>
  <c r="E401" i="63"/>
  <c r="D89" i="63"/>
  <c r="F332" i="63"/>
  <c r="B34" i="63"/>
  <c r="E156" i="63"/>
  <c r="B28" i="63"/>
  <c r="D184" i="63"/>
  <c r="D188" i="54"/>
  <c r="E9" i="54"/>
  <c r="F141" i="54"/>
  <c r="B66" i="54"/>
  <c r="B126" i="54"/>
  <c r="E12" i="63"/>
  <c r="D200" i="54"/>
  <c r="C170" i="63"/>
  <c r="B121" i="54"/>
  <c r="B132" i="63"/>
  <c r="C185" i="63"/>
  <c r="F4" i="63"/>
  <c r="F78" i="63"/>
  <c r="B321" i="63"/>
  <c r="E95" i="53"/>
  <c r="B63" i="54"/>
  <c r="E229" i="63"/>
  <c r="H258" i="54"/>
  <c r="E119" i="63"/>
  <c r="B44" i="57"/>
  <c r="C31" i="60"/>
  <c r="E314" i="63"/>
  <c r="D359" i="63"/>
  <c r="C316" i="63"/>
  <c r="E74" i="53"/>
  <c r="E149" i="63"/>
  <c r="B216" i="63"/>
  <c r="D205" i="54"/>
  <c r="E46" i="57"/>
  <c r="E300" i="63"/>
  <c r="C401" i="63"/>
  <c r="B29" i="63"/>
  <c r="C45" i="57"/>
  <c r="B148" i="63"/>
  <c r="C135" i="63"/>
  <c r="E100" i="57"/>
  <c r="C154" i="63"/>
  <c r="C349" i="63"/>
  <c r="C54" i="53"/>
  <c r="C63" i="53"/>
  <c r="B14" i="57"/>
  <c r="F364" i="63"/>
  <c r="B342" i="63"/>
  <c r="B86" i="63"/>
  <c r="B173" i="63"/>
  <c r="D433" i="63"/>
  <c r="C99" i="60"/>
  <c r="E83" i="57"/>
  <c r="B56" i="63"/>
  <c r="C24" i="53"/>
  <c r="B340" i="63"/>
  <c r="F369" i="63"/>
  <c r="F175" i="63"/>
  <c r="D179" i="63"/>
  <c r="F256" i="63"/>
  <c r="C439" i="63"/>
  <c r="B296" i="63"/>
  <c r="D390" i="63"/>
  <c r="D59" i="57"/>
  <c r="E210" i="63"/>
  <c r="B364" i="63"/>
  <c r="E121" i="63"/>
  <c r="B92" i="57"/>
  <c r="B307" i="63"/>
  <c r="C67" i="57"/>
  <c r="B124" i="63"/>
  <c r="E10" i="57"/>
  <c r="D10" i="61"/>
  <c r="F87" i="57"/>
  <c r="D237" i="54"/>
  <c r="D16" i="57"/>
  <c r="H147" i="54"/>
  <c r="F342" i="63"/>
  <c r="B371" i="63"/>
  <c r="E81" i="54"/>
  <c r="E105" i="63"/>
  <c r="E252" i="63"/>
  <c r="E404" i="63"/>
  <c r="E82" i="57"/>
  <c r="D70" i="57"/>
  <c r="B175" i="54"/>
  <c r="D73" i="57"/>
  <c r="E447" i="63"/>
  <c r="C410" i="63"/>
  <c r="F330" i="63"/>
  <c r="D123" i="63"/>
  <c r="B380" i="63"/>
  <c r="E77" i="57"/>
  <c r="F129" i="63"/>
  <c r="E381" i="63"/>
  <c r="D341" i="63"/>
  <c r="C197" i="63"/>
  <c r="B59" i="53"/>
  <c r="B93" i="60"/>
  <c r="B347" i="63"/>
  <c r="B20" i="60"/>
  <c r="D5" i="58"/>
  <c r="F2" i="53"/>
  <c r="D83" i="57"/>
  <c r="B127" i="63"/>
  <c r="B76" i="60"/>
  <c r="C86" i="63"/>
  <c r="B280" i="63"/>
  <c r="D18" i="58"/>
  <c r="C74" i="60"/>
  <c r="E175" i="63"/>
  <c r="D154" i="63"/>
  <c r="C253" i="63"/>
  <c r="E32" i="53"/>
  <c r="F432" i="63"/>
  <c r="E204" i="54"/>
  <c r="F36" i="53"/>
  <c r="B28" i="54"/>
  <c r="B358" i="63"/>
  <c r="B217" i="63"/>
  <c r="C41" i="57"/>
  <c r="E53" i="63"/>
  <c r="E6" i="57"/>
  <c r="F76" i="57"/>
  <c r="F225" i="63"/>
  <c r="F44" i="53"/>
  <c r="C86" i="53"/>
  <c r="B438" i="63"/>
  <c r="B376" i="63"/>
  <c r="C72" i="57"/>
  <c r="B283" i="63"/>
  <c r="B168" i="63"/>
  <c r="F9" i="63"/>
  <c r="F379" i="63"/>
  <c r="B154" i="63"/>
  <c r="D176" i="63"/>
  <c r="E122" i="63"/>
  <c r="B184" i="63"/>
  <c r="E16" i="57"/>
  <c r="B320" i="63"/>
  <c r="C365" i="63"/>
  <c r="B149" i="63"/>
  <c r="F97" i="63"/>
  <c r="C356" i="63"/>
  <c r="B9" i="63"/>
  <c r="F78" i="53"/>
  <c r="C226" i="63"/>
  <c r="B286" i="63"/>
  <c r="F203" i="63"/>
  <c r="B341" i="63"/>
  <c r="F233" i="63"/>
  <c r="B104" i="63"/>
  <c r="C22" i="57"/>
  <c r="F345" i="63"/>
  <c r="D367" i="63"/>
  <c r="C110" i="63"/>
  <c r="F442" i="63"/>
  <c r="C234" i="63"/>
  <c r="D268" i="63"/>
  <c r="C312" i="63"/>
  <c r="F93" i="57"/>
  <c r="D77" i="57"/>
  <c r="C174" i="63"/>
  <c r="B230" i="63"/>
  <c r="C57" i="53"/>
  <c r="B291" i="63"/>
  <c r="D55" i="60"/>
  <c r="E184" i="63"/>
  <c r="E206" i="63"/>
  <c r="F115" i="63"/>
  <c r="B413" i="63"/>
  <c r="D362" i="63"/>
  <c r="C389" i="63"/>
  <c r="B447" i="63"/>
  <c r="H142" i="54"/>
  <c r="D273" i="63"/>
  <c r="F79" i="54"/>
  <c r="D223" i="63"/>
  <c r="E98" i="53"/>
  <c r="B126" i="63"/>
  <c r="E254" i="63"/>
  <c r="E168" i="63"/>
  <c r="B19" i="63"/>
  <c r="B214" i="54"/>
  <c r="B90" i="57"/>
  <c r="F134" i="63"/>
  <c r="C217" i="63"/>
  <c r="C333" i="63"/>
  <c r="D343" i="63"/>
  <c r="F93" i="54"/>
  <c r="D3" i="60"/>
  <c r="C387" i="63"/>
  <c r="D7" i="60"/>
  <c r="F46" i="57"/>
  <c r="D444" i="63"/>
  <c r="D388" i="63"/>
  <c r="B59" i="57"/>
  <c r="B117" i="63"/>
  <c r="C420" i="63"/>
  <c r="H228" i="54"/>
  <c r="B232" i="63"/>
  <c r="C266" i="63"/>
  <c r="D48" i="60"/>
  <c r="C56" i="53"/>
  <c r="B197" i="63"/>
  <c r="D192" i="63"/>
  <c r="B75" i="57"/>
  <c r="C189" i="63"/>
  <c r="H2" i="55"/>
  <c r="C7" i="61"/>
  <c r="D342" i="63"/>
  <c r="F5" i="63"/>
  <c r="F114" i="63"/>
  <c r="E275" i="63"/>
  <c r="E55" i="57"/>
  <c r="C147" i="63"/>
  <c r="E200" i="63"/>
  <c r="F299" i="54"/>
  <c r="F27" i="63"/>
  <c r="D37" i="54"/>
  <c r="H293" i="54"/>
  <c r="E360" i="63"/>
  <c r="F47" i="54"/>
  <c r="F70" i="53"/>
  <c r="E412" i="63"/>
  <c r="D10" i="60"/>
  <c r="D214" i="54"/>
  <c r="F229" i="54"/>
  <c r="B12" i="60"/>
  <c r="F135" i="54"/>
  <c r="E240" i="54"/>
  <c r="B81" i="53"/>
  <c r="C134" i="63"/>
  <c r="H281" i="54"/>
  <c r="C165" i="63"/>
  <c r="C100" i="60"/>
  <c r="D412" i="63"/>
  <c r="F77" i="63"/>
  <c r="E357" i="63"/>
  <c r="B88" i="53"/>
  <c r="H66" i="54"/>
  <c r="E96" i="53"/>
  <c r="E202" i="63"/>
  <c r="E33" i="53"/>
  <c r="H220" i="54"/>
  <c r="D114" i="63"/>
  <c r="D113" i="63"/>
  <c r="F7" i="53"/>
  <c r="E95" i="54"/>
  <c r="E20" i="53"/>
  <c r="E28" i="63"/>
  <c r="C157" i="63"/>
  <c r="E313" i="63"/>
  <c r="F42" i="63"/>
  <c r="B338" i="63"/>
  <c r="B38" i="60"/>
  <c r="B160" i="63"/>
  <c r="F184" i="63"/>
  <c r="F60" i="53"/>
  <c r="F435" i="63"/>
  <c r="F109" i="63"/>
  <c r="D414" i="63"/>
  <c r="F84" i="57"/>
  <c r="F78" i="57"/>
  <c r="F213" i="63"/>
  <c r="H15" i="54"/>
  <c r="C74" i="57"/>
  <c r="F426" i="63"/>
  <c r="F319" i="63"/>
  <c r="B54" i="54"/>
  <c r="C3" i="57"/>
  <c r="B73" i="63"/>
  <c r="B294" i="63"/>
  <c r="F341" i="63"/>
  <c r="B410" i="63"/>
  <c r="C143" i="63"/>
  <c r="D195" i="63"/>
  <c r="B298" i="63"/>
  <c r="C9" i="57"/>
  <c r="D425" i="63"/>
  <c r="C314" i="63"/>
  <c r="B400" i="63"/>
  <c r="F189" i="63"/>
  <c r="B86" i="57"/>
  <c r="B339" i="63"/>
  <c r="E73" i="57"/>
  <c r="E298" i="54"/>
  <c r="E78" i="63"/>
  <c r="H26" i="54"/>
  <c r="H56" i="54"/>
  <c r="B289" i="63"/>
  <c r="E257" i="63"/>
  <c r="F6" i="63"/>
  <c r="H219" i="54"/>
  <c r="C70" i="60"/>
  <c r="D395" i="63"/>
  <c r="E67" i="63"/>
  <c r="F343" i="63"/>
  <c r="H36" i="54"/>
  <c r="D309" i="63"/>
  <c r="C60" i="53"/>
  <c r="C23" i="57"/>
  <c r="D5" i="61"/>
  <c r="D99" i="54"/>
  <c r="F252" i="54"/>
  <c r="C354" i="63"/>
  <c r="E15" i="53"/>
  <c r="B59" i="60"/>
  <c r="C231" i="63"/>
  <c r="F62" i="63"/>
  <c r="F47" i="53"/>
  <c r="D168" i="63"/>
  <c r="F17" i="57"/>
  <c r="B66" i="60"/>
  <c r="B57" i="63"/>
  <c r="F69" i="57"/>
  <c r="F140" i="54"/>
  <c r="C64" i="60"/>
  <c r="D368" i="63"/>
  <c r="D302" i="63"/>
  <c r="F69" i="63"/>
  <c r="B350" i="63"/>
  <c r="E31" i="57"/>
  <c r="E398" i="63"/>
  <c r="C400" i="63"/>
  <c r="D243" i="54"/>
  <c r="B44" i="60"/>
  <c r="F22" i="53"/>
  <c r="C15" i="53"/>
  <c r="E395" i="63"/>
  <c r="F328" i="63"/>
  <c r="D28" i="57"/>
  <c r="D85" i="57"/>
  <c r="F19" i="58"/>
  <c r="F433" i="63"/>
  <c r="F401" i="63"/>
  <c r="B134" i="63"/>
  <c r="C78" i="53"/>
  <c r="B78" i="54"/>
  <c r="C71" i="57"/>
  <c r="D62" i="57"/>
  <c r="B314" i="63"/>
  <c r="C351" i="63"/>
  <c r="D246" i="63"/>
  <c r="B426" i="63"/>
  <c r="H256" i="54"/>
  <c r="F206" i="54"/>
  <c r="H289" i="54"/>
  <c r="B21" i="57"/>
  <c r="D107" i="63"/>
  <c r="C408" i="63"/>
  <c r="C12" i="53"/>
  <c r="B103" i="63"/>
  <c r="F376" i="63"/>
  <c r="D442" i="63"/>
  <c r="E30" i="57"/>
  <c r="C451" i="63"/>
  <c r="D173" i="63"/>
  <c r="D118" i="63"/>
  <c r="C191" i="63"/>
  <c r="B344" i="63"/>
  <c r="H163" i="54"/>
  <c r="E57" i="53"/>
  <c r="E145" i="54"/>
  <c r="C148" i="63"/>
  <c r="F264" i="63"/>
  <c r="B27" i="54"/>
  <c r="F99" i="57"/>
  <c r="F37" i="57"/>
  <c r="F14" i="53"/>
  <c r="E29" i="53"/>
  <c r="E123" i="54"/>
  <c r="F291" i="63"/>
  <c r="C276" i="63"/>
  <c r="C268" i="63"/>
  <c r="B55" i="57"/>
  <c r="B95" i="60"/>
  <c r="E104" i="54"/>
  <c r="E67" i="54"/>
  <c r="B54" i="63"/>
  <c r="H204" i="54"/>
  <c r="C69" i="60"/>
  <c r="E31" i="53"/>
  <c r="E68" i="53"/>
  <c r="B72" i="53"/>
  <c r="B44" i="53"/>
  <c r="E50" i="53"/>
  <c r="E106" i="54"/>
  <c r="F22" i="54"/>
  <c r="C106" i="63"/>
  <c r="B97" i="60"/>
  <c r="E261" i="63"/>
  <c r="D130" i="54"/>
  <c r="H234" i="54"/>
  <c r="F71" i="63"/>
  <c r="B84" i="60"/>
  <c r="B83" i="60"/>
  <c r="F18" i="57"/>
  <c r="C59" i="53"/>
  <c r="B292" i="63"/>
  <c r="D270" i="63"/>
  <c r="E90" i="54"/>
  <c r="E19" i="63"/>
  <c r="E101" i="54"/>
  <c r="B32" i="53"/>
  <c r="F297" i="54"/>
  <c r="D198" i="63"/>
  <c r="E236" i="63"/>
  <c r="E320" i="63"/>
  <c r="B224" i="63"/>
  <c r="E52" i="57"/>
  <c r="E7" i="63"/>
  <c r="B99" i="60"/>
  <c r="B92" i="54"/>
  <c r="H60" i="54"/>
  <c r="D129" i="54"/>
  <c r="D305" i="63"/>
  <c r="E166" i="54"/>
  <c r="C391" i="63"/>
  <c r="D312" i="63"/>
  <c r="E91" i="53"/>
  <c r="D16" i="58"/>
  <c r="D189" i="63"/>
  <c r="F283" i="54"/>
  <c r="F389" i="63"/>
  <c r="E82" i="63"/>
  <c r="F177" i="54"/>
  <c r="D298" i="54"/>
  <c r="D4" i="58"/>
  <c r="C228" i="63"/>
  <c r="C47" i="60"/>
  <c r="H145" i="54"/>
  <c r="D177" i="54"/>
  <c r="B69" i="54"/>
  <c r="D280" i="54"/>
  <c r="H301" i="54"/>
  <c r="H177" i="54"/>
  <c r="D85" i="63"/>
  <c r="E46" i="54"/>
  <c r="E281" i="54"/>
  <c r="E93" i="53"/>
  <c r="E17" i="57"/>
  <c r="D13" i="63"/>
  <c r="E153" i="54"/>
  <c r="F293" i="63"/>
  <c r="B110" i="63"/>
  <c r="D142" i="63"/>
  <c r="B114" i="63"/>
  <c r="F80" i="54"/>
  <c r="D449" i="63"/>
  <c r="C68" i="57"/>
  <c r="F420" i="63"/>
  <c r="B45" i="57"/>
  <c r="D417" i="63"/>
  <c r="F244" i="54"/>
  <c r="C378" i="63"/>
  <c r="C435" i="63"/>
  <c r="D349" i="63"/>
  <c r="D63" i="54"/>
  <c r="D31" i="57"/>
  <c r="F60" i="63"/>
  <c r="E301" i="63"/>
  <c r="E37" i="63"/>
  <c r="F61" i="53"/>
  <c r="E45" i="53"/>
  <c r="C32" i="60"/>
  <c r="D92" i="60"/>
  <c r="D298" i="63"/>
  <c r="B290" i="54"/>
  <c r="E22" i="57"/>
  <c r="F86" i="53"/>
  <c r="C274" i="63"/>
  <c r="D88" i="57"/>
  <c r="B24" i="54"/>
  <c r="E309" i="63"/>
  <c r="F190" i="54"/>
  <c r="E128" i="54"/>
  <c r="B73" i="54"/>
  <c r="B77" i="60"/>
  <c r="E47" i="63"/>
  <c r="F28" i="57"/>
  <c r="E141" i="63"/>
  <c r="E62" i="53"/>
  <c r="B55" i="53"/>
  <c r="E40" i="53"/>
  <c r="D171" i="54"/>
  <c r="E390" i="63"/>
  <c r="B378" i="63"/>
  <c r="F245" i="63"/>
  <c r="D180" i="63"/>
  <c r="C21" i="57"/>
  <c r="F56" i="54"/>
  <c r="C262" i="63"/>
  <c r="C60" i="57"/>
  <c r="F4" i="58"/>
  <c r="D53" i="60"/>
  <c r="E4" i="63"/>
  <c r="B43" i="53"/>
  <c r="H287" i="54"/>
  <c r="B55" i="60"/>
  <c r="F137" i="54"/>
  <c r="D2" i="55"/>
  <c r="C323" i="63"/>
  <c r="C388" i="63"/>
  <c r="B334" i="63"/>
  <c r="F43" i="54"/>
  <c r="B68" i="53"/>
  <c r="B101" i="63"/>
  <c r="E127" i="63"/>
  <c r="E445" i="63"/>
  <c r="E269" i="54"/>
  <c r="D152" i="63"/>
  <c r="F118" i="63"/>
  <c r="E375" i="63"/>
  <c r="F15" i="53"/>
  <c r="H170" i="54"/>
  <c r="E17" i="58"/>
  <c r="B139" i="54"/>
  <c r="B74" i="54"/>
  <c r="B26" i="57"/>
  <c r="C146" i="63"/>
  <c r="D41" i="60"/>
  <c r="F67" i="53"/>
  <c r="B325" i="63"/>
  <c r="E46" i="63"/>
  <c r="D262" i="63"/>
  <c r="F165" i="54"/>
  <c r="E144" i="63"/>
  <c r="B98" i="53"/>
  <c r="B177" i="54"/>
  <c r="B26" i="60"/>
  <c r="B86" i="54"/>
  <c r="D396" i="63"/>
  <c r="C443" i="63"/>
  <c r="D322" i="63"/>
  <c r="F40" i="53"/>
  <c r="E296" i="54"/>
  <c r="F176" i="54"/>
  <c r="B52" i="63"/>
  <c r="H275" i="54"/>
  <c r="E277" i="54"/>
  <c r="C80" i="63"/>
  <c r="E290" i="63"/>
  <c r="D95" i="63"/>
  <c r="F29" i="63"/>
  <c r="F40" i="54"/>
  <c r="F7" i="55"/>
  <c r="E128" i="63"/>
  <c r="C275" i="63"/>
  <c r="D118" i="54"/>
  <c r="B15" i="53"/>
  <c r="H206" i="54"/>
  <c r="B60" i="53"/>
  <c r="B118" i="54"/>
  <c r="E333" i="63"/>
  <c r="E10" i="63"/>
  <c r="H130" i="54"/>
  <c r="E336" i="63"/>
  <c r="H61" i="54"/>
  <c r="F99" i="53"/>
  <c r="D46" i="63"/>
  <c r="H201" i="54"/>
  <c r="B242" i="54"/>
  <c r="B319" i="63"/>
  <c r="E221" i="54"/>
  <c r="B13" i="60"/>
  <c r="E241" i="54"/>
  <c r="E146" i="54"/>
  <c r="B10" i="60"/>
  <c r="D51" i="54"/>
  <c r="B50" i="53"/>
  <c r="C190" i="63"/>
  <c r="F4" i="57"/>
  <c r="C350" i="63"/>
  <c r="D351" i="63"/>
  <c r="E131" i="63"/>
  <c r="F308" i="63"/>
  <c r="D317" i="63"/>
  <c r="C358" i="63"/>
  <c r="B2" i="57"/>
  <c r="F116" i="63"/>
  <c r="H226" i="54"/>
  <c r="B436" i="63"/>
  <c r="C41" i="53"/>
  <c r="D3" i="57"/>
  <c r="B183" i="63"/>
  <c r="F133" i="63"/>
  <c r="C394" i="63"/>
  <c r="D34" i="60"/>
  <c r="C272" i="63"/>
  <c r="F83" i="57"/>
  <c r="B389" i="63"/>
  <c r="F340" i="63"/>
  <c r="E97" i="57"/>
  <c r="F355" i="63"/>
  <c r="H282" i="54"/>
  <c r="F185" i="63"/>
  <c r="D301" i="54"/>
  <c r="E20" i="57"/>
  <c r="B58" i="57"/>
  <c r="D284" i="54"/>
  <c r="E288" i="54"/>
  <c r="D85" i="54"/>
  <c r="D357" i="63"/>
  <c r="B30" i="54"/>
  <c r="D9" i="60"/>
  <c r="F88" i="63"/>
  <c r="D197" i="54"/>
  <c r="E57" i="63"/>
  <c r="C150" i="63"/>
  <c r="D286" i="54"/>
  <c r="F398" i="63"/>
  <c r="B148" i="54"/>
  <c r="D334" i="63"/>
  <c r="F397" i="63"/>
  <c r="F4" i="53"/>
  <c r="F10" i="54"/>
  <c r="C29" i="60"/>
  <c r="E181" i="54"/>
  <c r="D158" i="54"/>
  <c r="B31" i="57"/>
  <c r="C111" i="63"/>
  <c r="F11" i="57"/>
  <c r="F392" i="63"/>
  <c r="E384" i="63"/>
  <c r="D137" i="54"/>
  <c r="F357" i="63"/>
  <c r="E374" i="63"/>
  <c r="D37" i="63"/>
  <c r="D161" i="63"/>
  <c r="C280" i="63"/>
  <c r="B351" i="63"/>
  <c r="H193" i="54"/>
  <c r="H64" i="54"/>
  <c r="F53" i="53"/>
  <c r="E135" i="54"/>
  <c r="D125" i="63"/>
  <c r="E416" i="63"/>
  <c r="D94" i="63"/>
  <c r="B200" i="63"/>
  <c r="E432" i="63"/>
  <c r="E48" i="57"/>
  <c r="B312" i="63"/>
  <c r="C168" i="63"/>
  <c r="F10" i="53"/>
  <c r="E94" i="53"/>
  <c r="E38" i="57"/>
  <c r="D279" i="63"/>
  <c r="F63" i="57"/>
  <c r="F215" i="63"/>
  <c r="B41" i="60"/>
  <c r="C381" i="63"/>
  <c r="H179" i="54"/>
  <c r="B19" i="60"/>
  <c r="F14" i="58"/>
  <c r="H196" i="54"/>
  <c r="C221" i="63"/>
  <c r="F120" i="54"/>
  <c r="F105" i="54"/>
  <c r="C172" i="63"/>
  <c r="D411" i="63"/>
  <c r="D201" i="63"/>
  <c r="E74" i="57"/>
  <c r="B277" i="54"/>
  <c r="D2" i="58"/>
  <c r="C16" i="60"/>
  <c r="B71" i="60"/>
  <c r="E80" i="53"/>
  <c r="B98" i="60"/>
  <c r="D264" i="63"/>
  <c r="B120" i="63"/>
  <c r="E39" i="54"/>
  <c r="F16" i="53"/>
  <c r="D196" i="54"/>
  <c r="B33" i="60"/>
  <c r="F12" i="54"/>
  <c r="C196" i="63"/>
  <c r="C123" i="63"/>
  <c r="C357" i="63"/>
  <c r="B60" i="57"/>
  <c r="F262" i="63"/>
  <c r="F295" i="63"/>
  <c r="F162" i="63"/>
  <c r="B383" i="63"/>
  <c r="E318" i="63"/>
  <c r="F440" i="63"/>
  <c r="D156" i="63"/>
  <c r="C321" i="63"/>
  <c r="B37" i="63"/>
  <c r="D73" i="54"/>
  <c r="F112" i="63"/>
  <c r="D45" i="60"/>
  <c r="F150" i="54"/>
  <c r="B75" i="60"/>
  <c r="F2" i="57"/>
  <c r="B89" i="57"/>
  <c r="E71" i="57"/>
  <c r="C334" i="63"/>
  <c r="C43" i="57"/>
  <c r="B150" i="63"/>
  <c r="F9" i="57"/>
  <c r="D372" i="63"/>
  <c r="E163" i="63"/>
  <c r="C26" i="60"/>
  <c r="B141" i="63"/>
  <c r="F201" i="63"/>
  <c r="F223" i="54"/>
  <c r="D416" i="63"/>
  <c r="D187" i="63"/>
  <c r="D59" i="54"/>
  <c r="C40" i="53"/>
  <c r="B20" i="53"/>
  <c r="C219" i="63"/>
  <c r="E70" i="57"/>
  <c r="C39" i="60"/>
  <c r="D448" i="63"/>
  <c r="C34" i="63"/>
  <c r="H9" i="54"/>
  <c r="E339" i="63"/>
  <c r="B99" i="63"/>
  <c r="H76" i="54"/>
  <c r="E86" i="54"/>
  <c r="D170" i="54"/>
  <c r="D200" i="63"/>
  <c r="B73" i="57"/>
  <c r="D175" i="63"/>
  <c r="E328" i="63"/>
  <c r="E272" i="63"/>
  <c r="B362" i="63"/>
  <c r="E440" i="63"/>
  <c r="B105" i="63"/>
  <c r="D52" i="60"/>
  <c r="E238" i="54"/>
  <c r="H248" i="54"/>
  <c r="F65" i="57"/>
  <c r="E13" i="53"/>
  <c r="E391" i="63"/>
  <c r="E160" i="63"/>
  <c r="H144" i="54"/>
  <c r="F40" i="57"/>
  <c r="F56" i="57"/>
  <c r="F75" i="63"/>
  <c r="E9" i="53"/>
  <c r="F277" i="54"/>
  <c r="D11" i="60"/>
  <c r="F362" i="63"/>
  <c r="F416" i="63"/>
  <c r="H134" i="54"/>
  <c r="C359" i="63"/>
  <c r="E421" i="63"/>
  <c r="E60" i="54"/>
  <c r="B125" i="54"/>
  <c r="B6" i="63"/>
  <c r="B206" i="54"/>
  <c r="F79" i="53"/>
  <c r="C130" i="63"/>
  <c r="F192" i="63"/>
  <c r="E180" i="63"/>
  <c r="E159" i="63"/>
  <c r="D340" i="63"/>
  <c r="B205" i="54"/>
  <c r="D185" i="54"/>
  <c r="D151" i="54"/>
  <c r="F400" i="63"/>
  <c r="D79" i="63"/>
  <c r="H131" i="54"/>
  <c r="B49" i="60"/>
  <c r="E397" i="63"/>
  <c r="E399" i="63"/>
  <c r="F260" i="54"/>
  <c r="D126" i="54"/>
  <c r="H272" i="54"/>
  <c r="C284" i="63"/>
  <c r="C17" i="57"/>
  <c r="B360" i="63"/>
  <c r="C252" i="63"/>
  <c r="B2" i="53"/>
  <c r="E27" i="63"/>
  <c r="D210" i="63"/>
  <c r="C218" i="63"/>
  <c r="F168" i="54"/>
  <c r="D219" i="54"/>
  <c r="B296" i="54"/>
  <c r="C51" i="53"/>
  <c r="D240" i="63"/>
  <c r="B163" i="63"/>
  <c r="D356" i="63"/>
  <c r="H110" i="54"/>
  <c r="E43" i="63"/>
  <c r="D80" i="60"/>
  <c r="F68" i="53"/>
  <c r="B81" i="54"/>
  <c r="E433" i="63"/>
  <c r="D181" i="63"/>
  <c r="F265" i="63"/>
  <c r="B134" i="54"/>
  <c r="D47" i="63"/>
  <c r="C44" i="57"/>
  <c r="B92" i="60"/>
  <c r="F75" i="53"/>
  <c r="F22" i="63"/>
  <c r="B42" i="57"/>
  <c r="F91" i="54"/>
  <c r="F126" i="54"/>
  <c r="F99" i="63"/>
  <c r="F49" i="54"/>
  <c r="C7" i="63"/>
  <c r="C58" i="60"/>
  <c r="E385" i="63"/>
  <c r="E239" i="54"/>
  <c r="E139" i="54"/>
  <c r="D66" i="57"/>
  <c r="D257" i="63"/>
  <c r="F83" i="63"/>
  <c r="D229" i="63"/>
  <c r="D220" i="54"/>
  <c r="D96" i="57"/>
  <c r="F64" i="54"/>
  <c r="D11" i="54"/>
  <c r="B203" i="54"/>
  <c r="D122" i="54"/>
  <c r="D383" i="63"/>
  <c r="C242" i="63"/>
  <c r="F35" i="54"/>
  <c r="E133" i="63"/>
  <c r="D304" i="63"/>
  <c r="E76" i="53"/>
  <c r="B164" i="54"/>
  <c r="B252" i="54"/>
  <c r="D245" i="63"/>
  <c r="B3" i="60"/>
  <c r="D52" i="53"/>
  <c r="H83" i="54"/>
  <c r="D150" i="63"/>
  <c r="E245" i="54"/>
  <c r="C91" i="63"/>
  <c r="B51" i="54"/>
  <c r="D265" i="54"/>
  <c r="C45" i="63"/>
  <c r="D413" i="63"/>
  <c r="F272" i="63"/>
  <c r="F79" i="63"/>
  <c r="F9" i="53"/>
  <c r="D2" i="57"/>
  <c r="F101" i="57"/>
  <c r="F415" i="63"/>
  <c r="C27" i="53"/>
  <c r="F6" i="57"/>
  <c r="C10" i="63"/>
  <c r="C51" i="63"/>
  <c r="F17" i="58"/>
  <c r="D381" i="63"/>
  <c r="B151" i="54"/>
  <c r="F322" i="63"/>
  <c r="B257" i="63"/>
  <c r="H75" i="54"/>
  <c r="E54" i="63"/>
  <c r="F20" i="58"/>
  <c r="F45" i="63"/>
  <c r="B174" i="63"/>
  <c r="D22" i="57"/>
  <c r="E39" i="63"/>
  <c r="D231" i="63"/>
  <c r="B43" i="63"/>
  <c r="C20" i="53"/>
  <c r="F92" i="53"/>
  <c r="F130" i="63"/>
  <c r="F88" i="53"/>
  <c r="F191" i="63"/>
  <c r="C279" i="63"/>
  <c r="D180" i="54"/>
  <c r="B51" i="60"/>
  <c r="C149" i="63"/>
  <c r="B53" i="60"/>
  <c r="B5" i="60"/>
  <c r="D103" i="63"/>
  <c r="E311" i="63"/>
  <c r="E42" i="57"/>
  <c r="B52" i="53"/>
  <c r="C285" i="63"/>
  <c r="C83" i="63"/>
  <c r="F180" i="54"/>
  <c r="F166" i="63"/>
  <c r="C124" i="63"/>
  <c r="D336" i="63"/>
  <c r="E73" i="63"/>
  <c r="E64" i="63"/>
  <c r="F90" i="57"/>
  <c r="H143" i="54"/>
  <c r="E110" i="63"/>
  <c r="C447" i="63"/>
  <c r="E263" i="54"/>
  <c r="C184" i="63"/>
  <c r="C57" i="57"/>
  <c r="H252" i="54"/>
  <c r="B82" i="57"/>
  <c r="F224" i="54"/>
  <c r="D3" i="55"/>
  <c r="B81" i="57"/>
  <c r="E134" i="63"/>
  <c r="F234" i="54"/>
  <c r="H186" i="54"/>
  <c r="F403" i="63"/>
  <c r="H120" i="54"/>
  <c r="B209" i="54"/>
  <c r="E30" i="53"/>
  <c r="D39" i="54"/>
  <c r="F68" i="54"/>
  <c r="C22" i="53"/>
  <c r="E83" i="63"/>
  <c r="B299" i="63"/>
  <c r="D207" i="63"/>
  <c r="C3" i="63"/>
  <c r="D403" i="63"/>
  <c r="E373" i="63"/>
  <c r="E249" i="54"/>
  <c r="E89" i="53"/>
  <c r="D17" i="57"/>
  <c r="E52" i="63"/>
  <c r="E329" i="63"/>
  <c r="F24" i="57"/>
  <c r="F367" i="63"/>
  <c r="D40" i="54"/>
  <c r="F77" i="54"/>
  <c r="C73" i="60"/>
  <c r="E171" i="63"/>
  <c r="B257" i="54"/>
  <c r="E79" i="53"/>
  <c r="B133" i="63"/>
  <c r="F242" i="54"/>
  <c r="B202" i="54"/>
  <c r="D244" i="63"/>
  <c r="F202" i="63"/>
  <c r="E190" i="63"/>
  <c r="F12" i="53"/>
  <c r="F115" i="54"/>
  <c r="H235" i="54"/>
  <c r="B115" i="54"/>
  <c r="D6" i="57"/>
  <c r="F73" i="57"/>
  <c r="F184" i="54"/>
  <c r="D25" i="57"/>
  <c r="E23" i="54"/>
  <c r="F122" i="54"/>
  <c r="H16" i="55"/>
  <c r="E179" i="54"/>
  <c r="D51" i="57"/>
  <c r="H280" i="54"/>
  <c r="B58" i="53"/>
  <c r="D11" i="57"/>
  <c r="B52" i="57"/>
  <c r="C173" i="63"/>
  <c r="B227" i="54"/>
  <c r="B179" i="54"/>
  <c r="F97" i="54"/>
  <c r="D315" i="63"/>
  <c r="C374" i="63"/>
  <c r="C264" i="63"/>
  <c r="B297" i="63"/>
  <c r="F58" i="63"/>
  <c r="F93" i="63"/>
  <c r="E138" i="63"/>
  <c r="F96" i="63"/>
  <c r="E13" i="54"/>
  <c r="C19" i="60"/>
  <c r="D13" i="60"/>
  <c r="F73" i="54"/>
  <c r="C278" i="63"/>
  <c r="C101" i="57"/>
  <c r="C89" i="53"/>
  <c r="E170" i="63"/>
  <c r="E40" i="54"/>
  <c r="C313" i="63"/>
  <c r="C59" i="60"/>
  <c r="D61" i="54"/>
  <c r="D271" i="54"/>
  <c r="D431" i="63"/>
  <c r="E448" i="63"/>
  <c r="F257" i="54"/>
  <c r="C273" i="63"/>
  <c r="B88" i="60"/>
  <c r="B369" i="63"/>
  <c r="E103" i="63"/>
  <c r="E74" i="63"/>
  <c r="F145" i="54"/>
  <c r="H2" i="54"/>
  <c r="D93" i="54"/>
  <c r="E247" i="63"/>
  <c r="B8" i="63"/>
  <c r="E38" i="53"/>
  <c r="C49" i="60"/>
  <c r="C97" i="53"/>
  <c r="C144" i="63"/>
  <c r="H181" i="54"/>
  <c r="C20" i="63"/>
  <c r="E151" i="54"/>
  <c r="E25" i="53"/>
  <c r="C60" i="60"/>
  <c r="C325" i="63"/>
  <c r="B89" i="60"/>
  <c r="F144" i="54"/>
  <c r="F268" i="54"/>
  <c r="E195" i="63"/>
  <c r="B25" i="57"/>
  <c r="C11" i="60"/>
  <c r="D289" i="54"/>
  <c r="F335" i="63"/>
  <c r="C267" i="63"/>
  <c r="F220" i="54"/>
  <c r="C368" i="63"/>
  <c r="D70" i="60"/>
  <c r="C44" i="60"/>
  <c r="C199" i="63"/>
  <c r="D440" i="63"/>
  <c r="B331" i="63"/>
  <c r="F34" i="53"/>
  <c r="H184" i="54"/>
  <c r="E11" i="63"/>
  <c r="E206" i="54"/>
  <c r="B191" i="54"/>
  <c r="C28" i="53"/>
  <c r="D297" i="54"/>
  <c r="F18" i="54"/>
  <c r="D102" i="54"/>
  <c r="E238" i="63"/>
  <c r="E224" i="63"/>
  <c r="F387" i="63"/>
  <c r="D329" i="63"/>
  <c r="C428" i="63"/>
  <c r="D74" i="57"/>
  <c r="F179" i="63"/>
  <c r="D211" i="63"/>
  <c r="C89" i="57"/>
  <c r="D43" i="57"/>
  <c r="B10" i="54"/>
  <c r="F118" i="54"/>
  <c r="D163" i="54"/>
  <c r="F267" i="63"/>
  <c r="D237" i="63"/>
  <c r="D108" i="63"/>
  <c r="B63" i="53"/>
  <c r="E182" i="54"/>
  <c r="F279" i="63"/>
  <c r="C384" i="63"/>
  <c r="B241" i="54"/>
  <c r="E9" i="57"/>
  <c r="F112" i="54"/>
  <c r="F22" i="57"/>
  <c r="C95" i="63"/>
  <c r="E34" i="54"/>
  <c r="E104" i="63"/>
  <c r="F226" i="54"/>
  <c r="D151" i="63"/>
  <c r="F65" i="53"/>
  <c r="D229" i="54"/>
  <c r="E355" i="63"/>
  <c r="B127" i="54"/>
  <c r="D238" i="54"/>
  <c r="D73" i="53"/>
  <c r="E60" i="63"/>
  <c r="F164" i="54"/>
  <c r="D2" i="53"/>
  <c r="E194" i="54"/>
  <c r="E396" i="63"/>
  <c r="E14" i="63"/>
  <c r="H22" i="54"/>
  <c r="E251" i="54"/>
  <c r="E152" i="63"/>
  <c r="F280" i="54"/>
  <c r="E342" i="63"/>
  <c r="C11" i="57"/>
  <c r="B261" i="63"/>
  <c r="C62" i="53"/>
  <c r="D290" i="63"/>
  <c r="E172" i="63"/>
  <c r="F10" i="57"/>
  <c r="B416" i="63"/>
  <c r="C66" i="57"/>
  <c r="E173" i="63"/>
  <c r="F301" i="63"/>
  <c r="E352" i="63"/>
  <c r="F23" i="63"/>
  <c r="E36" i="57"/>
  <c r="C75" i="57"/>
  <c r="E34" i="57"/>
  <c r="B83" i="63"/>
  <c r="D299" i="63"/>
  <c r="E12" i="58"/>
  <c r="D130" i="63"/>
  <c r="C46" i="53"/>
  <c r="D109" i="63"/>
  <c r="E15" i="57"/>
  <c r="H44" i="54"/>
  <c r="C142" i="63"/>
  <c r="E351" i="63"/>
  <c r="C53" i="57"/>
  <c r="F59" i="53"/>
  <c r="D62" i="60"/>
  <c r="B265" i="54"/>
  <c r="F44" i="63"/>
  <c r="B40" i="60"/>
  <c r="D248" i="54"/>
  <c r="B30" i="63"/>
  <c r="D382" i="63"/>
  <c r="D141" i="54"/>
  <c r="D77" i="60"/>
  <c r="B62" i="54"/>
  <c r="E32" i="63"/>
  <c r="H141" i="54"/>
  <c r="H242" i="54"/>
  <c r="E222" i="54"/>
  <c r="E262" i="63"/>
  <c r="D76" i="54"/>
  <c r="C76" i="60"/>
  <c r="E363" i="63"/>
  <c r="F33" i="54"/>
  <c r="D261" i="63"/>
  <c r="E12" i="53"/>
  <c r="C6" i="53"/>
  <c r="D233" i="54"/>
  <c r="E362" i="63"/>
  <c r="F119" i="54"/>
  <c r="E69" i="53"/>
  <c r="E335" i="63"/>
  <c r="F219" i="54"/>
  <c r="F43" i="57"/>
  <c r="D194" i="63"/>
  <c r="C59" i="57"/>
  <c r="F71" i="53"/>
  <c r="D207" i="54"/>
  <c r="D265" i="63"/>
  <c r="E332" i="63"/>
  <c r="F74" i="53"/>
  <c r="F289" i="54"/>
  <c r="E295" i="54"/>
  <c r="C290" i="63"/>
  <c r="B449" i="63"/>
  <c r="D402" i="63"/>
  <c r="F54" i="54"/>
  <c r="H291" i="54"/>
  <c r="B48" i="60"/>
  <c r="D60" i="60"/>
  <c r="E428" i="63"/>
  <c r="C309" i="63"/>
  <c r="E62" i="63"/>
  <c r="H185" i="54"/>
  <c r="B21" i="60"/>
  <c r="E14" i="58"/>
  <c r="B9" i="60"/>
  <c r="H202" i="54"/>
  <c r="B219" i="63"/>
  <c r="D162" i="63"/>
  <c r="E380" i="63"/>
  <c r="E60" i="53"/>
  <c r="B264" i="54"/>
  <c r="H214" i="54"/>
  <c r="C52" i="60"/>
  <c r="F35" i="53"/>
  <c r="E298" i="63"/>
  <c r="C29" i="53"/>
  <c r="B255" i="54"/>
  <c r="E304" i="63"/>
  <c r="H127" i="54"/>
  <c r="D80" i="54"/>
  <c r="B213" i="63"/>
  <c r="D292" i="63"/>
  <c r="C56" i="60"/>
  <c r="D208" i="63"/>
  <c r="D241" i="54"/>
  <c r="F52" i="54"/>
  <c r="D67" i="54"/>
  <c r="F261" i="54"/>
  <c r="F300" i="54"/>
  <c r="H17" i="54"/>
  <c r="B142" i="54"/>
  <c r="E36" i="55"/>
  <c r="H115" i="54"/>
  <c r="B310" i="63"/>
  <c r="C73" i="63"/>
  <c r="D105" i="54"/>
  <c r="D385" i="63"/>
  <c r="H45" i="54"/>
  <c r="C4" i="57"/>
  <c r="F271" i="54"/>
  <c r="F156" i="54"/>
  <c r="B32" i="60"/>
  <c r="B201" i="63"/>
  <c r="D216" i="63"/>
  <c r="C16" i="63"/>
  <c r="E233" i="54"/>
  <c r="D163" i="63"/>
  <c r="E5" i="63"/>
  <c r="B65" i="54"/>
  <c r="B249" i="54"/>
  <c r="F93" i="53"/>
  <c r="D26" i="60"/>
  <c r="C335" i="63"/>
  <c r="B90" i="60"/>
  <c r="E181" i="63"/>
  <c r="E369" i="63"/>
  <c r="C92" i="60"/>
  <c r="C95" i="53"/>
  <c r="C87" i="53"/>
  <c r="F439" i="63"/>
  <c r="E250" i="54"/>
  <c r="D438" i="63"/>
  <c r="E442" i="63"/>
  <c r="E154" i="54"/>
  <c r="E85" i="63"/>
  <c r="B262" i="63"/>
  <c r="E348" i="63"/>
  <c r="C216" i="63"/>
  <c r="F96" i="54"/>
  <c r="B428" i="63"/>
  <c r="D239" i="54"/>
  <c r="D68" i="57"/>
  <c r="B44" i="63"/>
  <c r="H169" i="54"/>
  <c r="B115" i="63"/>
  <c r="F173" i="54"/>
  <c r="E13" i="63"/>
  <c r="B308" i="63"/>
  <c r="E59" i="63"/>
  <c r="C380" i="63"/>
  <c r="F48" i="63"/>
  <c r="B124" i="54"/>
  <c r="D95" i="60"/>
  <c r="F37" i="54"/>
  <c r="C259" i="63"/>
  <c r="B68" i="57"/>
  <c r="C8" i="61"/>
  <c r="F90" i="54"/>
  <c r="D324" i="63"/>
  <c r="B129" i="54"/>
  <c r="E152" i="54"/>
  <c r="C26" i="57"/>
  <c r="C223" i="63"/>
  <c r="H167" i="54"/>
  <c r="D63" i="60"/>
  <c r="B163" i="54"/>
  <c r="D258" i="63"/>
  <c r="B142" i="63"/>
  <c r="F365" i="63"/>
  <c r="C450" i="63"/>
  <c r="F28" i="63"/>
  <c r="E186" i="63"/>
  <c r="N7" i="54"/>
  <c r="B111" i="63"/>
  <c r="F26" i="54"/>
  <c r="D2" i="61"/>
  <c r="D232" i="63"/>
  <c r="D39" i="60"/>
  <c r="D242" i="54"/>
  <c r="C402" i="63"/>
  <c r="F30" i="63"/>
  <c r="D32" i="60"/>
  <c r="F299" i="63"/>
  <c r="E386" i="63"/>
  <c r="C16" i="57"/>
  <c r="B239" i="54"/>
  <c r="F52" i="63"/>
  <c r="D6" i="54"/>
  <c r="D176" i="54"/>
  <c r="E248" i="63"/>
  <c r="C301" i="63"/>
  <c r="F305" i="63"/>
  <c r="B43" i="57"/>
  <c r="E50" i="54"/>
  <c r="F183" i="54"/>
  <c r="C15" i="63"/>
  <c r="E161" i="63"/>
  <c r="D234" i="54"/>
  <c r="E201" i="54"/>
  <c r="B58" i="54"/>
  <c r="D270" i="54"/>
  <c r="H70" i="54"/>
  <c r="D32" i="63"/>
  <c r="F9" i="54"/>
  <c r="G18" i="55"/>
  <c r="B218" i="63"/>
  <c r="B172" i="63"/>
  <c r="D36" i="63"/>
  <c r="B220" i="54"/>
  <c r="E255" i="63"/>
  <c r="C74" i="63"/>
  <c r="I40" i="55"/>
  <c r="B47" i="60"/>
  <c r="F247" i="63"/>
  <c r="F87" i="63"/>
  <c r="D59" i="63"/>
  <c r="D278" i="54"/>
  <c r="B80" i="54"/>
  <c r="C329" i="63"/>
  <c r="F163" i="54"/>
  <c r="F422" i="63"/>
  <c r="B145" i="54"/>
  <c r="E10" i="58"/>
  <c r="E191" i="63"/>
  <c r="E449" i="63"/>
  <c r="B6" i="54"/>
  <c r="F229" i="63"/>
  <c r="E80" i="54"/>
  <c r="B40" i="53"/>
  <c r="E49" i="54"/>
  <c r="E99" i="53"/>
  <c r="B102" i="54"/>
  <c r="E18" i="53"/>
  <c r="D204" i="63"/>
  <c r="C304" i="63"/>
  <c r="C62" i="57"/>
  <c r="H250" i="54"/>
  <c r="E47" i="54"/>
  <c r="E81" i="53"/>
  <c r="F75" i="54"/>
  <c r="E220" i="54"/>
  <c r="H78" i="54"/>
  <c r="C92" i="57"/>
  <c r="D260" i="54"/>
  <c r="I113" i="63"/>
  <c r="E102" i="63"/>
  <c r="B58" i="60"/>
  <c r="D62" i="63"/>
  <c r="F74" i="63"/>
  <c r="B24" i="60"/>
  <c r="F172" i="54"/>
  <c r="H55" i="54"/>
  <c r="E122" i="54"/>
  <c r="B96" i="60"/>
  <c r="E176" i="54"/>
  <c r="F176" i="63"/>
  <c r="B275" i="54"/>
  <c r="B165" i="54"/>
  <c r="N40" i="55"/>
  <c r="D387" i="63"/>
  <c r="H81" i="54"/>
  <c r="E66" i="53"/>
  <c r="F20" i="54"/>
  <c r="C34" i="53"/>
  <c r="D253" i="54"/>
  <c r="D4" i="63"/>
  <c r="D18" i="60"/>
  <c r="E109" i="54"/>
  <c r="D75" i="63"/>
  <c r="B437" i="63"/>
  <c r="D369" i="63"/>
  <c r="E142" i="54"/>
  <c r="H52" i="54"/>
  <c r="B56" i="54"/>
  <c r="E2" i="55"/>
  <c r="B82" i="54"/>
  <c r="G27" i="55"/>
  <c r="D210" i="54"/>
  <c r="I23" i="58"/>
  <c r="B225" i="54"/>
  <c r="E322" i="63"/>
  <c r="D77" i="54"/>
  <c r="H19" i="54"/>
  <c r="I41" i="55"/>
  <c r="N29" i="55"/>
  <c r="F155" i="54"/>
  <c r="D95" i="53"/>
  <c r="B288" i="54"/>
  <c r="E80" i="57"/>
  <c r="F317" i="63"/>
  <c r="D272" i="63"/>
  <c r="E65" i="54"/>
  <c r="D28" i="60"/>
  <c r="F61" i="54"/>
  <c r="C352" i="63"/>
  <c r="C342" i="63"/>
  <c r="D220" i="63"/>
  <c r="F304" i="63"/>
  <c r="D129" i="63"/>
  <c r="F250" i="54"/>
  <c r="B68" i="60"/>
  <c r="D284" i="63"/>
  <c r="D137" i="63"/>
  <c r="E64" i="53"/>
  <c r="E6" i="58"/>
  <c r="D46" i="57"/>
  <c r="H257" i="54"/>
  <c r="H108" i="54"/>
  <c r="B39" i="54"/>
  <c r="H10" i="54"/>
  <c r="D64" i="60"/>
  <c r="D169" i="63"/>
  <c r="D12" i="57"/>
  <c r="F59" i="57"/>
  <c r="F67" i="63"/>
  <c r="D263" i="54"/>
  <c r="F19" i="57"/>
  <c r="E365" i="63"/>
  <c r="E97" i="63"/>
  <c r="H82" i="54"/>
  <c r="D49" i="60"/>
  <c r="D81" i="57"/>
  <c r="F21" i="53"/>
  <c r="D81" i="60"/>
  <c r="B274" i="54"/>
  <c r="D68" i="53"/>
  <c r="F449" i="63"/>
  <c r="C261" i="63"/>
  <c r="E268" i="63"/>
  <c r="B140" i="63"/>
  <c r="F117" i="54"/>
  <c r="E241" i="63"/>
  <c r="E137" i="54"/>
  <c r="D401" i="63"/>
  <c r="E292" i="63"/>
  <c r="B194" i="54"/>
  <c r="D126" i="63"/>
  <c r="E132" i="54"/>
  <c r="B162" i="54"/>
  <c r="B292" i="54"/>
  <c r="I130" i="63"/>
  <c r="E231" i="63"/>
  <c r="E130" i="54"/>
  <c r="D71" i="60"/>
  <c r="D274" i="54"/>
  <c r="D56" i="60"/>
  <c r="F128" i="54"/>
  <c r="E167" i="54"/>
  <c r="F76" i="54"/>
  <c r="D450" i="63"/>
  <c r="B270" i="54"/>
  <c r="C292" i="63"/>
  <c r="D63" i="57"/>
  <c r="H126" i="54"/>
  <c r="C30" i="63"/>
  <c r="D175" i="54"/>
  <c r="E279" i="54"/>
  <c r="D91" i="60"/>
  <c r="B272" i="54"/>
  <c r="E21" i="54"/>
  <c r="D40" i="55"/>
  <c r="D215" i="63"/>
  <c r="C71" i="63"/>
  <c r="B20" i="57"/>
  <c r="D28" i="54"/>
  <c r="E283" i="63"/>
  <c r="B98" i="54"/>
  <c r="E246" i="54"/>
  <c r="B131" i="54"/>
  <c r="C98" i="60"/>
  <c r="C77" i="63"/>
  <c r="D52" i="54"/>
  <c r="E136" i="63"/>
  <c r="E215" i="54"/>
  <c r="B245" i="54"/>
  <c r="H233" i="54"/>
  <c r="B70" i="53"/>
  <c r="D43" i="54"/>
  <c r="B67" i="54"/>
  <c r="D138" i="54"/>
  <c r="B99" i="53"/>
  <c r="C18" i="60"/>
  <c r="E27" i="53"/>
  <c r="D299" i="54"/>
  <c r="D7" i="63"/>
  <c r="C116" i="63"/>
  <c r="F298" i="54"/>
  <c r="D44" i="63"/>
  <c r="E157" i="54"/>
  <c r="E3" i="54"/>
  <c r="D76" i="53"/>
  <c r="E108" i="54"/>
  <c r="B9" i="54"/>
  <c r="C336" i="63"/>
  <c r="I160" i="63"/>
  <c r="E278" i="54"/>
  <c r="B17" i="53"/>
  <c r="H91" i="54"/>
  <c r="B11" i="54"/>
  <c r="H11" i="55"/>
  <c r="D16" i="63"/>
  <c r="H54" i="54"/>
  <c r="B26" i="54"/>
  <c r="C104" i="63"/>
  <c r="B61" i="57"/>
  <c r="C399" i="63"/>
  <c r="B47" i="57"/>
  <c r="B67" i="63"/>
  <c r="C126" i="63"/>
  <c r="F36" i="57"/>
  <c r="B51" i="57"/>
  <c r="B218" i="54"/>
  <c r="F180" i="63"/>
  <c r="D40" i="63"/>
  <c r="D204" i="54"/>
  <c r="F214" i="54"/>
  <c r="F142" i="54"/>
  <c r="D92" i="57"/>
  <c r="H269" i="54"/>
  <c r="E236" i="54"/>
  <c r="F149" i="63"/>
  <c r="C164" i="63"/>
  <c r="E56" i="53"/>
  <c r="E8" i="53"/>
  <c r="C98" i="57"/>
  <c r="D365" i="63"/>
  <c r="I371" i="63" s="1"/>
  <c r="F71" i="54"/>
  <c r="E99" i="63"/>
  <c r="D277" i="54"/>
  <c r="H68" i="54"/>
  <c r="D422" i="63"/>
  <c r="B59" i="54"/>
  <c r="C393" i="63"/>
  <c r="B62" i="63"/>
  <c r="E285" i="63"/>
  <c r="E165" i="63"/>
  <c r="F29" i="54"/>
  <c r="D218" i="54"/>
  <c r="D201" i="54"/>
  <c r="H18" i="55"/>
  <c r="B7" i="53"/>
  <c r="B116" i="54"/>
  <c r="F280" i="63"/>
  <c r="H183" i="54"/>
  <c r="E5" i="54"/>
  <c r="C294" i="63"/>
  <c r="C444" i="63"/>
  <c r="F196" i="63"/>
  <c r="G4" i="55"/>
  <c r="B306" i="63"/>
  <c r="H265" i="54"/>
  <c r="B210" i="54"/>
  <c r="H255" i="54"/>
  <c r="D56" i="63"/>
  <c r="D9" i="63"/>
  <c r="D83" i="54"/>
  <c r="E126" i="54"/>
  <c r="F273" i="63"/>
  <c r="C5" i="60"/>
  <c r="C405" i="63"/>
  <c r="D250" i="54"/>
  <c r="E127" i="54"/>
  <c r="C326" i="63"/>
  <c r="B3" i="53"/>
  <c r="D99" i="63"/>
  <c r="E53" i="57"/>
  <c r="C87" i="57"/>
  <c r="E282" i="54"/>
  <c r="E18" i="63"/>
  <c r="B88" i="54"/>
  <c r="F138" i="54"/>
  <c r="B8" i="54"/>
  <c r="D189" i="54"/>
  <c r="E297" i="63"/>
  <c r="E6" i="53"/>
  <c r="B183" i="54"/>
  <c r="E38" i="63"/>
  <c r="D258" i="54"/>
  <c r="E125" i="63"/>
  <c r="H158" i="54"/>
  <c r="C181" i="63"/>
  <c r="H229" i="54"/>
  <c r="B26" i="53"/>
  <c r="B34" i="53"/>
  <c r="C77" i="60"/>
  <c r="B429" i="63"/>
  <c r="E33" i="63"/>
  <c r="E44" i="53"/>
  <c r="C28" i="63"/>
  <c r="D78" i="54"/>
  <c r="I301" i="63"/>
  <c r="B143" i="63"/>
  <c r="E4" i="54"/>
  <c r="E26" i="54"/>
  <c r="D23" i="53"/>
  <c r="B93" i="53"/>
  <c r="B254" i="63"/>
  <c r="F24" i="53"/>
  <c r="B79" i="54"/>
  <c r="E444" i="63"/>
  <c r="E59" i="54"/>
  <c r="C204" i="63"/>
  <c r="F256" i="54"/>
  <c r="C424" i="63"/>
  <c r="D215" i="54"/>
  <c r="H27" i="55"/>
  <c r="H218" i="54"/>
  <c r="E274" i="54"/>
  <c r="I210" i="63"/>
  <c r="N41" i="55"/>
  <c r="F95" i="53"/>
  <c r="E219" i="63"/>
  <c r="I16" i="57"/>
  <c r="I446" i="63"/>
  <c r="D72" i="54"/>
  <c r="B9" i="53"/>
  <c r="D134" i="63"/>
  <c r="H176" i="54"/>
  <c r="F151" i="63"/>
  <c r="C404" i="63"/>
  <c r="B23" i="53"/>
  <c r="B135" i="54"/>
  <c r="B323" i="63"/>
  <c r="B273" i="54"/>
  <c r="E48" i="53"/>
  <c r="F267" i="54"/>
  <c r="D266" i="54"/>
  <c r="I192" i="63"/>
  <c r="F411" i="63"/>
  <c r="C298" i="63"/>
  <c r="F14" i="63"/>
  <c r="C331" i="63"/>
  <c r="D106" i="63"/>
  <c r="C79" i="57"/>
  <c r="F185" i="54"/>
  <c r="E100" i="63"/>
  <c r="C288" i="63"/>
  <c r="C99" i="57"/>
  <c r="D69" i="54"/>
  <c r="B66" i="53"/>
  <c r="E418" i="63"/>
  <c r="F264" i="54"/>
  <c r="E219" i="54"/>
  <c r="H266" i="54"/>
  <c r="C163" i="63"/>
  <c r="C419" i="63"/>
  <c r="F78" i="54"/>
  <c r="D225" i="54"/>
  <c r="D354" i="63"/>
  <c r="E58" i="63"/>
  <c r="H245" i="54"/>
  <c r="E78" i="53"/>
  <c r="C81" i="60"/>
  <c r="H31" i="54"/>
  <c r="E73" i="54"/>
  <c r="D57" i="60"/>
  <c r="E7" i="53"/>
  <c r="H216" i="54"/>
  <c r="F6" i="54"/>
  <c r="D12" i="63"/>
  <c r="E112" i="54"/>
  <c r="F50" i="54"/>
  <c r="D58" i="53"/>
  <c r="D147" i="54"/>
  <c r="C61" i="60"/>
  <c r="F253" i="63"/>
  <c r="D51" i="63"/>
  <c r="F187" i="54"/>
  <c r="H208" i="54"/>
  <c r="B146" i="54"/>
  <c r="B276" i="54"/>
  <c r="F141" i="63"/>
  <c r="F82" i="57"/>
  <c r="I89" i="57" s="1"/>
  <c r="E26" i="57"/>
  <c r="I7" i="55"/>
  <c r="F274" i="54"/>
  <c r="F263" i="54"/>
  <c r="D252" i="54"/>
  <c r="D38" i="54"/>
  <c r="B90" i="54"/>
  <c r="F15" i="58"/>
  <c r="C36" i="63"/>
  <c r="E114" i="54"/>
  <c r="C100" i="57"/>
  <c r="B73" i="53"/>
  <c r="E280" i="63"/>
  <c r="E93" i="54"/>
  <c r="H211" i="54"/>
  <c r="E147" i="54"/>
  <c r="E35" i="54"/>
  <c r="B82" i="63"/>
  <c r="E42" i="54"/>
  <c r="B18" i="57"/>
  <c r="D166" i="63"/>
  <c r="E146" i="63"/>
  <c r="B251" i="54"/>
  <c r="F195" i="54"/>
  <c r="C317" i="63"/>
  <c r="D291" i="54"/>
  <c r="D51" i="53"/>
  <c r="D165" i="63"/>
  <c r="F56" i="63"/>
  <c r="E84" i="53"/>
  <c r="E303" i="63"/>
  <c r="C10" i="61"/>
  <c r="B81" i="60"/>
  <c r="E256" i="54"/>
  <c r="D20" i="60"/>
  <c r="C161" i="63"/>
  <c r="D391" i="63"/>
  <c r="C26" i="53"/>
  <c r="E49" i="57"/>
  <c r="C48" i="60"/>
  <c r="I408" i="63"/>
  <c r="H47" i="54"/>
  <c r="B69" i="60"/>
  <c r="I289" i="63"/>
  <c r="D145" i="54"/>
  <c r="E266" i="54"/>
  <c r="C448" i="63"/>
  <c r="D301" i="63"/>
  <c r="B15" i="60"/>
  <c r="D332" i="63"/>
  <c r="E89" i="54"/>
  <c r="C337" i="63"/>
  <c r="H187" i="54"/>
  <c r="D257" i="54"/>
  <c r="F134" i="54"/>
  <c r="D262" i="54"/>
  <c r="B243" i="54"/>
  <c r="C39" i="63"/>
  <c r="D33" i="53"/>
  <c r="D8" i="58"/>
  <c r="B100" i="53"/>
  <c r="B71" i="53"/>
  <c r="I171" i="63"/>
  <c r="F288" i="54"/>
  <c r="H19" i="55"/>
  <c r="D37" i="57"/>
  <c r="C425" i="63"/>
  <c r="E192" i="54"/>
  <c r="H166" i="54"/>
  <c r="I10" i="55"/>
  <c r="D153" i="54"/>
  <c r="I4" i="55"/>
  <c r="C182" i="63"/>
  <c r="C67" i="53"/>
  <c r="F20" i="57"/>
  <c r="B89" i="63"/>
  <c r="F94" i="54"/>
  <c r="B158" i="63"/>
  <c r="I164" i="63" s="1"/>
  <c r="C225" i="63"/>
  <c r="I231" i="63" s="1"/>
  <c r="C194" i="63"/>
  <c r="B80" i="53"/>
  <c r="N9" i="54"/>
  <c r="E244" i="63"/>
  <c r="I250" i="63" s="1"/>
  <c r="C75" i="53"/>
  <c r="E316" i="63"/>
  <c r="E107" i="54"/>
  <c r="D154" i="54"/>
  <c r="F107" i="54"/>
  <c r="D100" i="63"/>
  <c r="E296" i="63"/>
  <c r="B88" i="63"/>
  <c r="B128" i="54"/>
  <c r="F281" i="63"/>
  <c r="E3" i="53"/>
  <c r="H33" i="54"/>
  <c r="C220" i="63"/>
  <c r="E155" i="54"/>
  <c r="C43" i="53"/>
  <c r="E144" i="54"/>
  <c r="D344" i="63"/>
  <c r="H254" i="54"/>
  <c r="D50" i="57"/>
  <c r="C101" i="53"/>
  <c r="C81" i="57"/>
  <c r="B300" i="54"/>
  <c r="F60" i="54"/>
  <c r="C19" i="63"/>
  <c r="H38" i="54"/>
  <c r="E257" i="54"/>
  <c r="E53" i="54"/>
  <c r="E102" i="54"/>
  <c r="F276" i="54"/>
  <c r="D198" i="54"/>
  <c r="B153" i="54"/>
  <c r="H46" i="54"/>
  <c r="E19" i="53"/>
  <c r="C14" i="63"/>
  <c r="B31" i="63"/>
  <c r="F81" i="57"/>
  <c r="F14" i="54"/>
  <c r="E63" i="53"/>
  <c r="E184" i="54"/>
  <c r="B8" i="53"/>
  <c r="B101" i="53"/>
  <c r="C42" i="60"/>
  <c r="E17" i="54"/>
  <c r="D205" i="63"/>
  <c r="C46" i="63"/>
  <c r="B47" i="54"/>
  <c r="H37" i="54"/>
  <c r="E100" i="54"/>
  <c r="D445" i="63"/>
  <c r="B46" i="60"/>
  <c r="D236" i="54"/>
  <c r="I98" i="57"/>
  <c r="E273" i="54"/>
  <c r="F214" i="63"/>
  <c r="H101" i="54"/>
  <c r="C145" i="63"/>
  <c r="F290" i="54"/>
  <c r="B156" i="54"/>
  <c r="E344" i="63"/>
  <c r="C119" i="63"/>
  <c r="D190" i="54"/>
  <c r="F246" i="54"/>
  <c r="D15" i="53"/>
  <c r="C94" i="57"/>
  <c r="E249" i="63"/>
  <c r="C11" i="53"/>
  <c r="B158" i="54"/>
  <c r="C81" i="63"/>
  <c r="F30" i="54"/>
  <c r="E2" i="53"/>
  <c r="C398" i="63"/>
  <c r="B285" i="54"/>
  <c r="F378" i="63"/>
  <c r="H297" i="54"/>
  <c r="E232" i="54"/>
  <c r="F45" i="54"/>
  <c r="D84" i="63"/>
  <c r="C418" i="63"/>
  <c r="B40" i="57"/>
  <c r="D259" i="54"/>
  <c r="C102" i="63"/>
  <c r="D321" i="63"/>
  <c r="D267" i="63"/>
  <c r="F63" i="54"/>
  <c r="B85" i="60"/>
  <c r="E237" i="63"/>
  <c r="D373" i="63"/>
  <c r="E62" i="54"/>
  <c r="F8" i="63"/>
  <c r="D181" i="54"/>
  <c r="C44" i="63"/>
  <c r="E40" i="55"/>
  <c r="F30" i="57"/>
  <c r="F279" i="54"/>
  <c r="D104" i="63"/>
  <c r="F104" i="54"/>
  <c r="F241" i="54"/>
  <c r="G25" i="55"/>
  <c r="E149" i="54"/>
  <c r="C5" i="61"/>
  <c r="N32" i="55"/>
  <c r="E138" i="54"/>
  <c r="F231" i="63"/>
  <c r="D84" i="54"/>
  <c r="B140" i="54"/>
  <c r="I56" i="57"/>
  <c r="H205" i="54"/>
  <c r="D90" i="54"/>
  <c r="F197" i="54"/>
  <c r="F81" i="54"/>
  <c r="F209" i="54"/>
  <c r="E7" i="55"/>
  <c r="C127" i="63"/>
  <c r="E271" i="54"/>
  <c r="B58" i="63"/>
  <c r="E5" i="57"/>
  <c r="D316" i="63"/>
  <c r="E151" i="63"/>
  <c r="B387" i="63"/>
  <c r="E177" i="54"/>
  <c r="B199" i="54"/>
  <c r="B100" i="60"/>
  <c r="B370" i="63"/>
  <c r="E53" i="53"/>
  <c r="C159" i="63"/>
  <c r="C395" i="63"/>
  <c r="D133" i="54"/>
  <c r="D155" i="54"/>
  <c r="C80" i="60"/>
  <c r="C166" i="63"/>
  <c r="F274" i="63"/>
  <c r="C86" i="60"/>
  <c r="E111" i="54"/>
  <c r="D74" i="63"/>
  <c r="C171" i="63"/>
  <c r="C238" i="63"/>
  <c r="D370" i="63"/>
  <c r="B16" i="54"/>
  <c r="C320" i="63"/>
  <c r="B75" i="54"/>
  <c r="E18" i="58"/>
  <c r="N2" i="54"/>
  <c r="F64" i="63"/>
  <c r="E44" i="57"/>
  <c r="C112" i="63"/>
  <c r="B216" i="54"/>
  <c r="D38" i="63"/>
  <c r="D8" i="61"/>
  <c r="F83" i="54"/>
  <c r="D3" i="54"/>
  <c r="E170" i="54"/>
  <c r="D15" i="54"/>
  <c r="C41" i="60"/>
  <c r="E331" i="63"/>
  <c r="D3" i="63"/>
  <c r="B77" i="53"/>
  <c r="F2" i="54"/>
  <c r="D187" i="54"/>
  <c r="B37" i="60"/>
  <c r="E4" i="53"/>
  <c r="D311" i="63"/>
  <c r="C84" i="60"/>
  <c r="D18" i="63"/>
  <c r="E56" i="63"/>
  <c r="B203" i="63"/>
  <c r="I209" i="63" s="1"/>
  <c r="B70" i="63"/>
  <c r="G41" i="55"/>
  <c r="D159" i="63"/>
  <c r="E30" i="63"/>
  <c r="E42" i="63"/>
  <c r="B299" i="54"/>
  <c r="C53" i="60"/>
  <c r="E180" i="54"/>
  <c r="B51" i="53"/>
  <c r="B33" i="54"/>
  <c r="F39" i="54"/>
  <c r="D146" i="63"/>
  <c r="E175" i="54"/>
  <c r="H150" i="54"/>
  <c r="B160" i="54"/>
  <c r="E82" i="54"/>
  <c r="D132" i="54"/>
  <c r="D31" i="63"/>
  <c r="H198" i="54"/>
  <c r="D146" i="54"/>
  <c r="B94" i="54"/>
  <c r="E33" i="54"/>
  <c r="D447" i="63"/>
  <c r="C120" i="63"/>
  <c r="F49" i="53"/>
  <c r="D203" i="54"/>
  <c r="C25" i="63"/>
  <c r="B254" i="54"/>
  <c r="D348" i="63"/>
  <c r="E76" i="54"/>
  <c r="B6" i="53"/>
  <c r="F321" i="63"/>
  <c r="D32" i="54"/>
  <c r="F74" i="54"/>
  <c r="E190" i="54"/>
  <c r="D123" i="54"/>
  <c r="H298" i="54"/>
  <c r="H273" i="54"/>
  <c r="B92" i="53"/>
  <c r="D148" i="54"/>
  <c r="C364" i="63"/>
  <c r="F94" i="53"/>
  <c r="E425" i="63"/>
  <c r="F46" i="54"/>
  <c r="F28" i="54"/>
  <c r="E290" i="54"/>
  <c r="H94" i="54"/>
  <c r="F291" i="54"/>
  <c r="F259" i="54"/>
  <c r="E143" i="54"/>
  <c r="E189" i="54"/>
  <c r="D83" i="63"/>
  <c r="E83" i="54"/>
  <c r="D140" i="54"/>
  <c r="C436" i="63"/>
  <c r="D26" i="54"/>
  <c r="F275" i="63"/>
  <c r="B21" i="53"/>
  <c r="F450" i="63"/>
  <c r="D85" i="53"/>
  <c r="N23" i="55"/>
  <c r="D209" i="54"/>
  <c r="F171" i="54"/>
  <c r="C54" i="63"/>
  <c r="I157" i="63"/>
  <c r="B276" i="63"/>
  <c r="B252" i="63"/>
  <c r="C308" i="63"/>
  <c r="E160" i="54"/>
  <c r="F7" i="57"/>
  <c r="C82" i="60"/>
  <c r="E228" i="54"/>
  <c r="H192" i="54"/>
  <c r="B233" i="63"/>
  <c r="B70" i="60"/>
  <c r="F13" i="57"/>
  <c r="E37" i="53"/>
  <c r="B329" i="63"/>
  <c r="H34" i="54"/>
  <c r="B52" i="54"/>
  <c r="E165" i="54"/>
  <c r="F136" i="63"/>
  <c r="C338" i="63"/>
  <c r="F251" i="54"/>
  <c r="E10" i="54"/>
  <c r="E405" i="63"/>
  <c r="F245" i="54"/>
  <c r="B12" i="54"/>
  <c r="E3" i="58"/>
  <c r="E259" i="63"/>
  <c r="I265" i="63" s="1"/>
  <c r="E201" i="63"/>
  <c r="F138" i="63"/>
  <c r="B41" i="57"/>
  <c r="F11" i="63"/>
  <c r="C69" i="57"/>
  <c r="I76" i="57" s="1"/>
  <c r="E273" i="63"/>
  <c r="I279" i="63" s="1"/>
  <c r="F359" i="63"/>
  <c r="B349" i="63"/>
  <c r="D30" i="57"/>
  <c r="E129" i="54"/>
  <c r="F98" i="53"/>
  <c r="D345" i="63"/>
  <c r="D4" i="55"/>
  <c r="B182" i="54"/>
  <c r="E9" i="58"/>
  <c r="D279" i="54"/>
  <c r="D14" i="60"/>
  <c r="D441" i="63"/>
  <c r="D41" i="54"/>
  <c r="C407" i="63"/>
  <c r="F21" i="63"/>
  <c r="D197" i="63"/>
  <c r="F23" i="54"/>
  <c r="D443" i="63"/>
  <c r="B250" i="54"/>
  <c r="H86" i="54"/>
  <c r="E326" i="63"/>
  <c r="D239" i="63"/>
  <c r="B147" i="54"/>
  <c r="F444" i="63"/>
  <c r="E371" i="63"/>
  <c r="E150" i="63"/>
  <c r="F153" i="63"/>
  <c r="D432" i="63"/>
  <c r="D418" i="63"/>
  <c r="C109" i="63"/>
  <c r="C449" i="63"/>
  <c r="D71" i="57"/>
  <c r="F92" i="57"/>
  <c r="D44" i="54"/>
  <c r="D280" i="63"/>
  <c r="E43" i="53"/>
  <c r="D379" i="63"/>
  <c r="F87" i="54"/>
  <c r="B29" i="60"/>
  <c r="B224" i="54"/>
  <c r="E123" i="63"/>
  <c r="C28" i="60"/>
  <c r="E120" i="54"/>
  <c r="F406" i="63"/>
  <c r="C248" i="63"/>
  <c r="D41" i="63"/>
  <c r="C289" i="63"/>
  <c r="H96" i="54"/>
  <c r="D376" i="63"/>
  <c r="D393" i="63"/>
  <c r="D245" i="54"/>
  <c r="D353" i="63"/>
  <c r="E242" i="54"/>
  <c r="C87" i="63"/>
  <c r="D35" i="60"/>
  <c r="B87" i="53"/>
  <c r="B91" i="53"/>
  <c r="E164" i="54"/>
  <c r="E166" i="63"/>
  <c r="D186" i="54"/>
  <c r="H261" i="54"/>
  <c r="E82" i="53"/>
  <c r="F95" i="54"/>
  <c r="I366" i="63"/>
  <c r="B411" i="63"/>
  <c r="E235" i="63"/>
  <c r="D50" i="63"/>
  <c r="F186" i="54"/>
  <c r="F21" i="58"/>
  <c r="B53" i="53"/>
  <c r="D206" i="54"/>
  <c r="B89" i="54"/>
  <c r="I121" i="63"/>
  <c r="B363" i="63"/>
  <c r="D98" i="60"/>
  <c r="D54" i="60"/>
  <c r="E286" i="54"/>
  <c r="H244" i="54"/>
  <c r="B222" i="54"/>
  <c r="E172" i="54"/>
  <c r="F301" i="54"/>
  <c r="H79" i="54"/>
  <c r="F66" i="57"/>
  <c r="F15" i="54"/>
  <c r="D231" i="54"/>
  <c r="C108" i="63"/>
  <c r="H11" i="54"/>
  <c r="E168" i="54"/>
  <c r="D224" i="54"/>
  <c r="E358" i="63"/>
  <c r="B35" i="60"/>
  <c r="C95" i="60"/>
  <c r="D256" i="54"/>
  <c r="F152" i="54"/>
  <c r="C50" i="53"/>
  <c r="B355" i="63"/>
  <c r="D406" i="63"/>
  <c r="E86" i="63"/>
  <c r="B87" i="54"/>
  <c r="D249" i="63"/>
  <c r="I255" i="63" s="1"/>
  <c r="C361" i="63"/>
  <c r="D40" i="57"/>
  <c r="C73" i="57"/>
  <c r="D55" i="57"/>
  <c r="B70" i="57"/>
  <c r="B229" i="63"/>
  <c r="F175" i="54"/>
  <c r="D97" i="60"/>
  <c r="H161" i="54"/>
  <c r="B107" i="54"/>
  <c r="F89" i="54"/>
  <c r="F27" i="53"/>
  <c r="B169" i="54"/>
  <c r="D100" i="54"/>
  <c r="E39" i="53"/>
  <c r="C25" i="57"/>
  <c r="F38" i="57"/>
  <c r="H300" i="54"/>
  <c r="H74" i="54"/>
  <c r="B63" i="63"/>
  <c r="E194" i="63"/>
  <c r="E43" i="54"/>
  <c r="B31" i="60"/>
  <c r="F76" i="63"/>
  <c r="B38" i="53"/>
  <c r="E75" i="54"/>
  <c r="F334" i="63"/>
  <c r="I340" i="63" s="1"/>
  <c r="F246" i="63"/>
  <c r="H222" i="54"/>
  <c r="D10" i="63"/>
  <c r="I16" i="63" s="1"/>
  <c r="B200" i="54"/>
  <c r="E262" i="54"/>
  <c r="F122" i="63"/>
  <c r="F58" i="53"/>
  <c r="D292" i="54"/>
  <c r="B228" i="54"/>
  <c r="D196" i="63"/>
  <c r="D50" i="54"/>
  <c r="F43" i="53"/>
  <c r="D125" i="54"/>
  <c r="D5" i="54"/>
  <c r="H107" i="54"/>
  <c r="F33" i="53"/>
  <c r="E208" i="63"/>
  <c r="E13" i="58"/>
  <c r="B85" i="54"/>
  <c r="I32" i="57"/>
  <c r="B45" i="54"/>
  <c r="D101" i="54"/>
  <c r="E315" i="63"/>
  <c r="D168" i="54"/>
  <c r="E14" i="54"/>
  <c r="H290" i="54"/>
  <c r="F243" i="54"/>
  <c r="F58" i="54"/>
  <c r="B152" i="54"/>
  <c r="D111" i="54"/>
  <c r="E45" i="57"/>
  <c r="F249" i="54"/>
  <c r="F98" i="54"/>
  <c r="C76" i="57"/>
  <c r="B93" i="63"/>
  <c r="D13" i="54"/>
  <c r="E49" i="63"/>
  <c r="D93" i="63"/>
  <c r="I422" i="63"/>
  <c r="B50" i="54"/>
  <c r="B184" i="54"/>
  <c r="E268" i="54"/>
  <c r="D83" i="60"/>
  <c r="B64" i="60"/>
  <c r="D64" i="54"/>
  <c r="C214" i="63"/>
  <c r="D103" i="54"/>
  <c r="D68" i="63"/>
  <c r="E94" i="54"/>
  <c r="C99" i="63"/>
  <c r="H62" i="54"/>
  <c r="E67" i="53"/>
  <c r="B35" i="57"/>
  <c r="B357" i="63"/>
  <c r="I363" i="63" s="1"/>
  <c r="B72" i="54"/>
  <c r="E16" i="63"/>
  <c r="F56" i="53"/>
  <c r="C5" i="53"/>
  <c r="D267" i="54"/>
  <c r="B78" i="53"/>
  <c r="F356" i="63"/>
  <c r="H213" i="54"/>
  <c r="C441" i="63"/>
  <c r="H236" i="54"/>
  <c r="C63" i="63"/>
  <c r="F219" i="63"/>
  <c r="D194" i="54"/>
  <c r="H240" i="54"/>
  <c r="D48" i="54"/>
  <c r="C94" i="63"/>
  <c r="E441" i="63"/>
  <c r="F312" i="63"/>
  <c r="I318" i="63" s="1"/>
  <c r="E196" i="54"/>
  <c r="C236" i="63"/>
  <c r="F196" i="54"/>
  <c r="E321" i="63"/>
  <c r="F123" i="63"/>
  <c r="D84" i="57"/>
  <c r="C373" i="63"/>
  <c r="D141" i="63"/>
  <c r="H111" i="54"/>
  <c r="B57" i="60"/>
  <c r="F35" i="57"/>
  <c r="F149" i="54"/>
  <c r="F131" i="54"/>
  <c r="F394" i="63"/>
  <c r="E212" i="54"/>
  <c r="B99" i="54"/>
  <c r="D45" i="54"/>
  <c r="I29" i="57"/>
  <c r="I69" i="57"/>
  <c r="E124" i="54"/>
  <c r="E214" i="54"/>
  <c r="I10" i="57"/>
  <c r="E364" i="63"/>
  <c r="I288" i="63"/>
  <c r="E133" i="54"/>
  <c r="F255" i="63"/>
  <c r="C445" i="63"/>
  <c r="I51" i="57"/>
  <c r="H17" i="55"/>
  <c r="D256" i="63"/>
  <c r="B246" i="54"/>
  <c r="B25" i="54"/>
  <c r="F284" i="54"/>
  <c r="I274" i="63"/>
  <c r="C340" i="63"/>
  <c r="D261" i="54"/>
  <c r="F255" i="54"/>
  <c r="F158" i="54"/>
  <c r="I207" i="63"/>
  <c r="F204" i="54"/>
  <c r="B39" i="57"/>
  <c r="F124" i="54"/>
  <c r="F170" i="54"/>
  <c r="D131" i="54"/>
  <c r="F231" i="54"/>
  <c r="D58" i="60"/>
  <c r="E211" i="54"/>
  <c r="N14" i="55"/>
  <c r="D19" i="53"/>
  <c r="E136" i="54"/>
  <c r="B247" i="54"/>
  <c r="E20" i="54"/>
  <c r="E39" i="57"/>
  <c r="F85" i="54"/>
  <c r="B294" i="54"/>
  <c r="B15" i="54"/>
  <c r="E5" i="55"/>
  <c r="B291" i="54"/>
  <c r="D49" i="53"/>
  <c r="E426" i="63"/>
  <c r="C42" i="63"/>
  <c r="F85" i="53"/>
  <c r="B138" i="54"/>
  <c r="H224" i="54"/>
  <c r="H22" i="55"/>
  <c r="D160" i="54"/>
  <c r="D5" i="60"/>
  <c r="F121" i="54"/>
  <c r="F28" i="55"/>
  <c r="D31" i="60"/>
  <c r="D290" i="54"/>
  <c r="E54" i="54"/>
  <c r="D119" i="54"/>
  <c r="I140" i="63"/>
  <c r="I368" i="63"/>
  <c r="D143" i="54"/>
  <c r="D269" i="54"/>
  <c r="D30" i="55"/>
  <c r="B2" i="63"/>
  <c r="D363" i="63"/>
  <c r="G6" i="55"/>
  <c r="F210" i="54"/>
  <c r="D66" i="53"/>
  <c r="F73" i="53"/>
  <c r="F53" i="54"/>
  <c r="E119" i="54"/>
  <c r="D65" i="54"/>
  <c r="B95" i="53"/>
  <c r="D99" i="57"/>
  <c r="I332" i="63"/>
  <c r="H39" i="55"/>
  <c r="D74" i="53"/>
  <c r="D97" i="63"/>
  <c r="D26" i="53"/>
  <c r="B49" i="54"/>
  <c r="D82" i="53"/>
  <c r="E79" i="54"/>
  <c r="D54" i="53"/>
  <c r="H264" i="54"/>
  <c r="I214" i="63"/>
  <c r="H277" i="54"/>
  <c r="E6" i="63"/>
  <c r="B41" i="63"/>
  <c r="E100" i="53"/>
  <c r="F39" i="53"/>
  <c r="F316" i="63"/>
  <c r="H27" i="54"/>
  <c r="B76" i="63"/>
  <c r="F69" i="53"/>
  <c r="D80" i="57"/>
  <c r="H124" i="54"/>
  <c r="H84" i="54"/>
  <c r="H7" i="54"/>
  <c r="B152" i="63"/>
  <c r="C227" i="63"/>
  <c r="C307" i="63"/>
  <c r="F23" i="53"/>
  <c r="H212" i="54"/>
  <c r="C430" i="63"/>
  <c r="B209" i="63"/>
  <c r="E406" i="63"/>
  <c r="E217" i="54"/>
  <c r="F320" i="63"/>
  <c r="E199" i="54"/>
  <c r="B111" i="54"/>
  <c r="B143" i="54"/>
  <c r="F448" i="63"/>
  <c r="H189" i="54"/>
  <c r="H225" i="54"/>
  <c r="C79" i="60"/>
  <c r="D27" i="53"/>
  <c r="N6" i="54"/>
  <c r="E77" i="63"/>
  <c r="D21" i="53"/>
  <c r="B84" i="53"/>
  <c r="B237" i="54"/>
  <c r="D112" i="54"/>
  <c r="D4" i="54"/>
  <c r="I240" i="63"/>
  <c r="I342" i="63"/>
  <c r="D17" i="53"/>
  <c r="B113" i="54"/>
  <c r="I78" i="57"/>
  <c r="I453" i="63"/>
  <c r="H16" i="54"/>
  <c r="C370" i="63"/>
  <c r="C53" i="63"/>
  <c r="F31" i="55"/>
  <c r="I428" i="63"/>
  <c r="I9" i="57"/>
  <c r="D20" i="53"/>
  <c r="E6" i="54"/>
  <c r="I350" i="63"/>
  <c r="B330" i="63"/>
  <c r="E52" i="54"/>
  <c r="E139" i="63"/>
  <c r="D264" i="54"/>
  <c r="H73" i="54"/>
  <c r="D86" i="63"/>
  <c r="D128" i="63"/>
  <c r="E209" i="63"/>
  <c r="E155" i="63"/>
  <c r="F266" i="54"/>
  <c r="G15" i="55"/>
  <c r="D20" i="63"/>
  <c r="D246" i="54"/>
  <c r="F38" i="55"/>
  <c r="H26" i="55"/>
  <c r="F24" i="54"/>
  <c r="C47" i="63"/>
  <c r="F146" i="54"/>
  <c r="E216" i="54"/>
  <c r="E276" i="54"/>
  <c r="D12" i="53"/>
  <c r="D92" i="54"/>
  <c r="B50" i="60"/>
  <c r="B114" i="54"/>
  <c r="D50" i="53"/>
  <c r="H51" i="54"/>
  <c r="C41" i="63"/>
  <c r="I270" i="63"/>
  <c r="D182" i="54"/>
  <c r="D14" i="53"/>
  <c r="I43" i="57"/>
  <c r="E347" i="63"/>
  <c r="C57" i="60"/>
  <c r="F123" i="54"/>
  <c r="F265" i="54"/>
  <c r="F4" i="55"/>
  <c r="F272" i="54"/>
  <c r="D49" i="63"/>
  <c r="H32" i="55"/>
  <c r="D6" i="61"/>
  <c r="I450" i="63"/>
  <c r="B97" i="53"/>
  <c r="D101" i="53"/>
  <c r="B29" i="54"/>
  <c r="I80" i="57"/>
  <c r="N7" i="55"/>
  <c r="D275" i="54"/>
  <c r="D81" i="54"/>
  <c r="F139" i="54"/>
  <c r="I322" i="63"/>
  <c r="E116" i="54"/>
  <c r="B25" i="53"/>
  <c r="N8" i="55"/>
  <c r="B23" i="54"/>
  <c r="F282" i="54"/>
  <c r="F243" i="63"/>
  <c r="D9" i="53"/>
  <c r="I220" i="63"/>
  <c r="B53" i="54"/>
  <c r="B48" i="53"/>
  <c r="B232" i="54"/>
  <c r="D83" i="53"/>
  <c r="B198" i="63"/>
  <c r="D33" i="54"/>
  <c r="C21" i="53"/>
  <c r="F25" i="55"/>
  <c r="F131" i="63"/>
  <c r="D47" i="57"/>
  <c r="D101" i="60"/>
  <c r="F296" i="63"/>
  <c r="F77" i="53"/>
  <c r="B80" i="63"/>
  <c r="F110" i="54"/>
  <c r="B121" i="63"/>
  <c r="B94" i="63"/>
  <c r="B11" i="53"/>
  <c r="F13" i="63"/>
  <c r="F287" i="63"/>
  <c r="E299" i="54"/>
  <c r="F42" i="53"/>
  <c r="C385" i="63"/>
  <c r="I391" i="63" s="1"/>
  <c r="E117" i="54"/>
  <c r="E23" i="63"/>
  <c r="H129" i="54"/>
  <c r="H80" i="54"/>
  <c r="C300" i="63"/>
  <c r="F215" i="54"/>
  <c r="F116" i="54"/>
  <c r="F157" i="54"/>
  <c r="E38" i="54"/>
  <c r="F300" i="63"/>
  <c r="C188" i="63"/>
  <c r="H104" i="54"/>
  <c r="B337" i="63"/>
  <c r="B174" i="54"/>
  <c r="B23" i="57"/>
  <c r="B83" i="54"/>
  <c r="D100" i="53"/>
  <c r="B18" i="60"/>
  <c r="F200" i="54"/>
  <c r="E65" i="53"/>
  <c r="C138" i="63"/>
  <c r="H178" i="54"/>
  <c r="F92" i="54"/>
  <c r="E29" i="54"/>
  <c r="H151" i="54"/>
  <c r="H102" i="54"/>
  <c r="F20" i="55"/>
  <c r="I296" i="63"/>
  <c r="D56" i="54"/>
  <c r="I18" i="55"/>
  <c r="F64" i="53"/>
  <c r="F19" i="54"/>
  <c r="N35" i="55"/>
  <c r="C101" i="63"/>
  <c r="D12" i="55"/>
  <c r="F113" i="54"/>
  <c r="E17" i="55"/>
  <c r="C200" i="63"/>
  <c r="B136" i="54"/>
  <c r="D202" i="54"/>
  <c r="E98" i="54"/>
  <c r="D79" i="53"/>
  <c r="E30" i="55"/>
  <c r="F351" i="63"/>
  <c r="D17" i="60"/>
  <c r="H28" i="54"/>
  <c r="H28" i="55"/>
  <c r="F445" i="63"/>
  <c r="F62" i="53"/>
  <c r="D34" i="53"/>
  <c r="D75" i="54"/>
  <c r="G31" i="55"/>
  <c r="H30" i="55"/>
  <c r="E283" i="54"/>
  <c r="C57" i="63"/>
  <c r="C376" i="63"/>
  <c r="E224" i="54"/>
  <c r="C96" i="63"/>
  <c r="B280" i="54"/>
  <c r="H138" i="54"/>
  <c r="N5" i="55"/>
  <c r="B11" i="57"/>
  <c r="D160" i="63"/>
  <c r="I166" i="63" s="1"/>
  <c r="F13" i="58"/>
  <c r="I170" i="63"/>
  <c r="D7" i="55"/>
  <c r="D268" i="54"/>
  <c r="D127" i="54"/>
  <c r="I263" i="63"/>
  <c r="C5" i="63"/>
  <c r="C246" i="63"/>
  <c r="F5" i="57"/>
  <c r="B93" i="54"/>
  <c r="C131" i="63"/>
  <c r="F29" i="57"/>
  <c r="I178" i="63"/>
  <c r="F26" i="55"/>
  <c r="B47" i="53"/>
  <c r="I186" i="63"/>
  <c r="D142" i="54"/>
  <c r="E182" i="63"/>
  <c r="I323" i="63"/>
  <c r="D157" i="54"/>
  <c r="D77" i="63"/>
  <c r="N12" i="55"/>
  <c r="F23" i="55"/>
  <c r="D62" i="53"/>
  <c r="E13" i="55"/>
  <c r="E28" i="54"/>
  <c r="D271" i="63"/>
  <c r="C175" i="63"/>
  <c r="I181" i="63" s="1"/>
  <c r="D2" i="54"/>
  <c r="D227" i="63"/>
  <c r="E243" i="54"/>
  <c r="D178" i="54"/>
  <c r="B23" i="63"/>
  <c r="F418" i="63"/>
  <c r="B236" i="54"/>
  <c r="H12" i="54"/>
  <c r="F132" i="63"/>
  <c r="N8" i="54"/>
  <c r="D31" i="53"/>
  <c r="F227" i="63"/>
  <c r="H239" i="54"/>
  <c r="E251" i="63"/>
  <c r="F57" i="54"/>
  <c r="D18" i="53"/>
  <c r="D71" i="54"/>
  <c r="C205" i="63"/>
  <c r="F127" i="54"/>
  <c r="B192" i="54"/>
  <c r="D9" i="55"/>
  <c r="F37" i="53"/>
  <c r="D295" i="54"/>
  <c r="D7" i="54"/>
  <c r="H288" i="54"/>
  <c r="I60" i="57"/>
  <c r="D66" i="63"/>
  <c r="E77" i="54"/>
  <c r="H123" i="54"/>
  <c r="C9" i="63"/>
  <c r="E23" i="53"/>
  <c r="C72" i="60"/>
  <c r="D84" i="60"/>
  <c r="C98" i="63"/>
  <c r="F437" i="63"/>
  <c r="H39" i="54"/>
  <c r="E75" i="53"/>
  <c r="I438" i="63"/>
  <c r="F130" i="54"/>
  <c r="D6" i="53"/>
  <c r="D8" i="63"/>
  <c r="F3" i="55"/>
  <c r="D38" i="57"/>
  <c r="D120" i="54"/>
  <c r="D296" i="63"/>
  <c r="D72" i="57"/>
  <c r="B82" i="53"/>
  <c r="I28" i="55"/>
  <c r="I52" i="57"/>
  <c r="D47" i="53"/>
  <c r="C429" i="63"/>
  <c r="E289" i="54"/>
  <c r="F212" i="54"/>
  <c r="F275" i="54"/>
  <c r="I417" i="63"/>
  <c r="B46" i="53"/>
  <c r="D96" i="60"/>
  <c r="F218" i="63"/>
  <c r="I406" i="63"/>
  <c r="E91" i="54"/>
  <c r="D101" i="63"/>
  <c r="D6" i="55"/>
  <c r="D76" i="60"/>
  <c r="E20" i="55"/>
  <c r="I8" i="55"/>
  <c r="C40" i="63"/>
  <c r="E431" i="63"/>
  <c r="H18" i="54"/>
  <c r="E191" i="54"/>
  <c r="D75" i="53"/>
  <c r="F333" i="63"/>
  <c r="D53" i="63"/>
  <c r="I32" i="55"/>
  <c r="B189" i="54"/>
  <c r="C241" i="63"/>
  <c r="F153" i="54"/>
  <c r="F162" i="54"/>
  <c r="I36" i="55"/>
  <c r="H48" i="54"/>
  <c r="D17" i="54"/>
  <c r="I37" i="55"/>
  <c r="E235" i="54"/>
  <c r="I242" i="63"/>
  <c r="N2" i="55"/>
  <c r="E92" i="53"/>
  <c r="D61" i="63"/>
  <c r="E51" i="53"/>
  <c r="E58" i="54"/>
  <c r="G30" i="55"/>
  <c r="D253" i="63"/>
  <c r="D64" i="63"/>
  <c r="G14" i="55"/>
  <c r="E27" i="55"/>
  <c r="E94" i="63"/>
  <c r="B229" i="54"/>
  <c r="D240" i="54"/>
  <c r="F391" i="63"/>
  <c r="I397" i="63" s="1"/>
  <c r="E370" i="63"/>
  <c r="H253" i="54"/>
  <c r="F12" i="63"/>
  <c r="E56" i="57"/>
  <c r="I63" i="57" s="1"/>
  <c r="D297" i="63"/>
  <c r="H6" i="54"/>
  <c r="B61" i="60"/>
  <c r="F227" i="54"/>
  <c r="B283" i="54"/>
  <c r="C269" i="63"/>
  <c r="I275" i="63" s="1"/>
  <c r="F251" i="63"/>
  <c r="E112" i="63"/>
  <c r="B27" i="63"/>
  <c r="D25" i="54"/>
  <c r="D43" i="63"/>
  <c r="I49" i="63" s="1"/>
  <c r="H63" i="54"/>
  <c r="H299" i="54"/>
  <c r="E435" i="63"/>
  <c r="D18" i="54"/>
  <c r="F31" i="53"/>
  <c r="B12" i="57"/>
  <c r="H14" i="54"/>
  <c r="H50" i="54"/>
  <c r="B398" i="63"/>
  <c r="E310" i="63"/>
  <c r="B298" i="54"/>
  <c r="D222" i="54"/>
  <c r="I33" i="55"/>
  <c r="F34" i="57"/>
  <c r="B345" i="63"/>
  <c r="D313" i="63"/>
  <c r="E225" i="54"/>
  <c r="D28" i="63"/>
  <c r="D392" i="63"/>
  <c r="F17" i="54"/>
  <c r="E8" i="55"/>
  <c r="D191" i="54"/>
  <c r="D81" i="53"/>
  <c r="D161" i="54"/>
  <c r="G35" i="55"/>
  <c r="C89" i="63"/>
  <c r="B11" i="60"/>
  <c r="H53" i="54"/>
  <c r="I281" i="63"/>
  <c r="C303" i="63"/>
  <c r="F174" i="54"/>
  <c r="B193" i="54"/>
  <c r="F293" i="54"/>
  <c r="B201" i="54"/>
  <c r="G36" i="55"/>
  <c r="D71" i="53"/>
  <c r="E4" i="55"/>
  <c r="F90" i="53"/>
  <c r="H25" i="54"/>
  <c r="D16" i="54"/>
  <c r="B181" i="54"/>
  <c r="B132" i="54"/>
  <c r="D8" i="54"/>
  <c r="D111" i="63"/>
  <c r="E24" i="54"/>
  <c r="F72" i="54"/>
  <c r="E92" i="54"/>
  <c r="B278" i="54"/>
  <c r="I124" i="63"/>
  <c r="I9" i="55"/>
  <c r="D59" i="53"/>
  <c r="B8" i="60"/>
  <c r="D17" i="55"/>
  <c r="D42" i="60"/>
  <c r="F17" i="55"/>
  <c r="D212" i="54"/>
  <c r="I75" i="57"/>
  <c r="I327" i="63"/>
  <c r="E85" i="54"/>
  <c r="E99" i="54"/>
  <c r="D98" i="53"/>
  <c r="I431" i="63"/>
  <c r="D184" i="54"/>
  <c r="H152" i="54"/>
  <c r="D98" i="63"/>
  <c r="F39" i="55"/>
  <c r="I190" i="63"/>
  <c r="I254" i="63"/>
  <c r="E294" i="54"/>
  <c r="F9" i="55"/>
  <c r="E423" i="63"/>
  <c r="B171" i="54"/>
  <c r="B213" i="54"/>
  <c r="I41" i="57"/>
  <c r="E51" i="54"/>
  <c r="F192" i="54"/>
  <c r="E69" i="63"/>
  <c r="I107" i="57"/>
  <c r="B262" i="54"/>
  <c r="E34" i="55"/>
  <c r="D165" i="54"/>
  <c r="B55" i="54"/>
  <c r="D11" i="53"/>
  <c r="F129" i="54"/>
  <c r="H6" i="55"/>
  <c r="F88" i="54"/>
  <c r="D11" i="55"/>
  <c r="D30" i="53"/>
  <c r="H25" i="55"/>
  <c r="H20" i="54"/>
  <c r="B94" i="53"/>
  <c r="H71" i="54"/>
  <c r="E14" i="55"/>
  <c r="E37" i="55"/>
  <c r="I457" i="63"/>
  <c r="I59" i="63"/>
  <c r="F59" i="54"/>
  <c r="I105" i="57"/>
  <c r="B261" i="54"/>
  <c r="G38" i="55"/>
  <c r="D21" i="63"/>
  <c r="B240" i="54"/>
  <c r="D56" i="53"/>
  <c r="B60" i="54"/>
  <c r="F8" i="54"/>
  <c r="E264" i="54"/>
  <c r="F289" i="63"/>
  <c r="C96" i="57"/>
  <c r="E186" i="54"/>
  <c r="D247" i="54"/>
  <c r="E7" i="58"/>
  <c r="D58" i="54"/>
  <c r="E379" i="63"/>
  <c r="H156" i="54"/>
  <c r="F284" i="63"/>
  <c r="B10" i="53"/>
  <c r="E71" i="63"/>
  <c r="C296" i="63"/>
  <c r="E301" i="54"/>
  <c r="D25" i="60"/>
  <c r="E65" i="63"/>
  <c r="D155" i="63"/>
  <c r="E231" i="54"/>
  <c r="E116" i="63"/>
  <c r="I122" i="63" s="1"/>
  <c r="E392" i="63"/>
  <c r="H121" i="54"/>
  <c r="D14" i="63"/>
  <c r="I20" i="63" s="1"/>
  <c r="D63" i="63"/>
  <c r="H57" i="54"/>
  <c r="H271" i="54"/>
  <c r="C88" i="63"/>
  <c r="H114" i="54"/>
  <c r="F237" i="54"/>
  <c r="D27" i="63"/>
  <c r="D65" i="53"/>
  <c r="D36" i="54"/>
  <c r="H207" i="54"/>
  <c r="H174" i="54"/>
  <c r="I421" i="63"/>
  <c r="F42" i="54"/>
  <c r="H135" i="54"/>
  <c r="F41" i="55"/>
  <c r="C46" i="60"/>
  <c r="D45" i="53"/>
  <c r="I449" i="63"/>
  <c r="F202" i="54"/>
  <c r="F35" i="63"/>
  <c r="B65" i="53"/>
  <c r="C6" i="63"/>
  <c r="E55" i="54"/>
  <c r="E84" i="63"/>
  <c r="B66" i="57"/>
  <c r="I73" i="57" s="1"/>
  <c r="H172" i="54"/>
  <c r="D228" i="54"/>
  <c r="I202" i="63"/>
  <c r="I70" i="57"/>
  <c r="I38" i="57"/>
  <c r="D65" i="60"/>
  <c r="E18" i="55"/>
  <c r="E111" i="63"/>
  <c r="F189" i="54"/>
  <c r="B41" i="53"/>
  <c r="B219" i="54"/>
  <c r="N33" i="55"/>
  <c r="G10" i="55"/>
  <c r="D65" i="63"/>
  <c r="I129" i="63"/>
  <c r="C315" i="63"/>
  <c r="D70" i="54"/>
  <c r="D281" i="54"/>
  <c r="I341" i="63"/>
  <c r="F99" i="54"/>
  <c r="C33" i="60"/>
  <c r="F218" i="54"/>
  <c r="I384" i="63"/>
  <c r="D374" i="63"/>
  <c r="B4" i="53"/>
  <c r="F266" i="63"/>
  <c r="I272" i="63" s="1"/>
  <c r="D86" i="53"/>
  <c r="E42" i="53"/>
  <c r="B2" i="54"/>
  <c r="C29" i="63"/>
  <c r="D420" i="63"/>
  <c r="I420" i="63"/>
  <c r="D24" i="63"/>
  <c r="D174" i="63"/>
  <c r="F24" i="63"/>
  <c r="D255" i="54"/>
  <c r="E244" i="54"/>
  <c r="F51" i="54"/>
  <c r="D60" i="54"/>
  <c r="B233" i="54"/>
  <c r="F194" i="54"/>
  <c r="D64" i="53"/>
  <c r="B155" i="63"/>
  <c r="B38" i="54"/>
  <c r="C85" i="63"/>
  <c r="D86" i="60"/>
  <c r="I184" i="63"/>
  <c r="H36" i="55"/>
  <c r="B43" i="60"/>
  <c r="B56" i="53"/>
  <c r="E2" i="58"/>
  <c r="I25" i="58"/>
  <c r="B231" i="54"/>
  <c r="D21" i="55"/>
  <c r="B97" i="54"/>
  <c r="E78" i="54"/>
  <c r="I64" i="57"/>
  <c r="B137" i="54"/>
  <c r="E36" i="54"/>
  <c r="I133" i="63"/>
  <c r="H279" i="54"/>
  <c r="D26" i="55"/>
  <c r="B5" i="54"/>
  <c r="D35" i="55"/>
  <c r="C369" i="63"/>
  <c r="E12" i="55"/>
  <c r="B74" i="53"/>
  <c r="C193" i="63"/>
  <c r="C23" i="63"/>
  <c r="B226" i="63"/>
  <c r="D24" i="60"/>
  <c r="B90" i="63"/>
  <c r="E299" i="63"/>
  <c r="F11" i="58"/>
  <c r="B19" i="53"/>
  <c r="F67" i="54"/>
  <c r="F125" i="63"/>
  <c r="F103" i="54"/>
  <c r="F195" i="63"/>
  <c r="I201" i="63" s="1"/>
  <c r="D216" i="54"/>
  <c r="D54" i="57"/>
  <c r="E197" i="54"/>
  <c r="B289" i="54"/>
  <c r="C206" i="63"/>
  <c r="I212" i="63" s="1"/>
  <c r="E56" i="54"/>
  <c r="B34" i="60"/>
  <c r="I66" i="57"/>
  <c r="E93" i="63"/>
  <c r="D282" i="54"/>
  <c r="H42" i="54"/>
  <c r="F294" i="54"/>
  <c r="C40" i="57"/>
  <c r="C60" i="63"/>
  <c r="C54" i="60"/>
  <c r="E260" i="54"/>
  <c r="H274" i="54"/>
  <c r="C286" i="63"/>
  <c r="E198" i="54"/>
  <c r="I241" i="63"/>
  <c r="D157" i="63"/>
  <c r="I273" i="63"/>
  <c r="C372" i="63"/>
  <c r="D87" i="63"/>
  <c r="F25" i="54"/>
  <c r="H294" i="54"/>
  <c r="E15" i="55"/>
  <c r="D110" i="63"/>
  <c r="C121" i="63"/>
  <c r="C62" i="63"/>
  <c r="B28" i="60"/>
  <c r="B179" i="63"/>
  <c r="I31" i="55"/>
  <c r="D74" i="60"/>
  <c r="F178" i="54"/>
  <c r="H77" i="54"/>
  <c r="C3" i="61"/>
  <c r="D94" i="54"/>
  <c r="E31" i="55"/>
  <c r="E11" i="53"/>
  <c r="D69" i="63"/>
  <c r="B88" i="57"/>
  <c r="D89" i="53"/>
  <c r="C21" i="63"/>
  <c r="F37" i="55"/>
  <c r="H175" i="54"/>
  <c r="N28" i="55"/>
  <c r="B36" i="63"/>
  <c r="D192" i="54"/>
  <c r="D2" i="63"/>
  <c r="D41" i="55"/>
  <c r="C64" i="63"/>
  <c r="D74" i="54"/>
  <c r="B279" i="54"/>
  <c r="H247" i="54"/>
  <c r="F102" i="54"/>
  <c r="H268" i="54"/>
  <c r="C396" i="63"/>
  <c r="H65" i="54"/>
  <c r="E150" i="54"/>
  <c r="F11" i="54"/>
  <c r="I59" i="57"/>
  <c r="H41" i="55"/>
  <c r="D73" i="63"/>
  <c r="B17" i="60"/>
  <c r="I109" i="63"/>
  <c r="D24" i="57"/>
  <c r="E293" i="54"/>
  <c r="B94" i="60"/>
  <c r="C152" i="63"/>
  <c r="E159" i="54"/>
  <c r="B13" i="57"/>
  <c r="I455" i="63"/>
  <c r="G8" i="55"/>
  <c r="F431" i="63"/>
  <c r="B100" i="63"/>
  <c r="F239" i="54"/>
  <c r="D97" i="53"/>
  <c r="H15" i="55"/>
  <c r="C367" i="63"/>
  <c r="F191" i="54"/>
  <c r="C82" i="63"/>
  <c r="B49" i="53"/>
  <c r="E142" i="63"/>
  <c r="N25" i="55"/>
  <c r="C265" i="63"/>
  <c r="E367" i="63"/>
  <c r="F393" i="63"/>
  <c r="C137" i="63"/>
  <c r="I143" i="63" s="1"/>
  <c r="F331" i="63"/>
  <c r="B258" i="54"/>
  <c r="H30" i="54"/>
  <c r="F254" i="54"/>
  <c r="B70" i="54"/>
  <c r="E189" i="63"/>
  <c r="I195" i="63" s="1"/>
  <c r="E284" i="63"/>
  <c r="I290" i="63" s="1"/>
  <c r="C66" i="60"/>
  <c r="B7" i="54"/>
  <c r="F235" i="54"/>
  <c r="B7" i="60"/>
  <c r="C239" i="63"/>
  <c r="D61" i="57"/>
  <c r="D263" i="63"/>
  <c r="C97" i="60"/>
  <c r="D380" i="63"/>
  <c r="D25" i="63"/>
  <c r="D148" i="63"/>
  <c r="D424" i="63"/>
  <c r="I430" i="63" s="1"/>
  <c r="B162" i="63"/>
  <c r="I168" i="63" s="1"/>
  <c r="C12" i="60"/>
  <c r="D50" i="60"/>
  <c r="C37" i="63"/>
  <c r="E7" i="54"/>
  <c r="F60" i="57"/>
  <c r="I67" i="57" s="1"/>
  <c r="E88" i="53"/>
  <c r="D428" i="63"/>
  <c r="F382" i="63"/>
  <c r="I388" i="63" s="1"/>
  <c r="D21" i="54"/>
  <c r="F31" i="54"/>
  <c r="C31" i="63"/>
  <c r="E48" i="63"/>
  <c r="E115" i="54"/>
  <c r="D38" i="55"/>
  <c r="H137" i="54"/>
  <c r="E302" i="63"/>
  <c r="D24" i="54"/>
  <c r="D213" i="54"/>
  <c r="C45" i="60"/>
  <c r="E324" i="63"/>
  <c r="I277" i="63"/>
  <c r="C90" i="60"/>
  <c r="E103" i="54"/>
  <c r="B45" i="53"/>
  <c r="B397" i="63"/>
  <c r="E77" i="53"/>
  <c r="F48" i="54"/>
  <c r="I189" i="63"/>
  <c r="D13" i="53"/>
  <c r="D25" i="55"/>
  <c r="H112" i="54"/>
  <c r="H210" i="54"/>
  <c r="D25" i="53"/>
  <c r="D90" i="60"/>
  <c r="D19" i="55"/>
  <c r="E259" i="54"/>
  <c r="E24" i="55"/>
  <c r="B234" i="54"/>
  <c r="D68" i="60"/>
  <c r="E280" i="54"/>
  <c r="D133" i="63"/>
  <c r="I100" i="57"/>
  <c r="I298" i="63"/>
  <c r="B100" i="54"/>
  <c r="B167" i="54"/>
  <c r="H33" i="55"/>
  <c r="I114" i="63"/>
  <c r="E202" i="54"/>
  <c r="I414" i="63"/>
  <c r="F144" i="63"/>
  <c r="D39" i="63"/>
  <c r="K64" i="53"/>
  <c r="B64" i="53"/>
  <c r="I424" i="63"/>
  <c r="F278" i="54"/>
  <c r="D227" i="54"/>
  <c r="F199" i="54"/>
  <c r="C100" i="63"/>
  <c r="D15" i="60"/>
  <c r="F143" i="54"/>
  <c r="H37" i="55"/>
  <c r="H285" i="54"/>
  <c r="B6" i="57"/>
  <c r="H29" i="55"/>
  <c r="B211" i="54"/>
  <c r="B35" i="54"/>
  <c r="F151" i="54"/>
  <c r="E8" i="54"/>
  <c r="B217" i="54"/>
  <c r="E32" i="55"/>
  <c r="F70" i="63"/>
  <c r="D183" i="54"/>
  <c r="D252" i="63"/>
  <c r="I11" i="58"/>
  <c r="D169" i="54"/>
  <c r="E19" i="54"/>
  <c r="B31" i="53"/>
  <c r="E27" i="54"/>
  <c r="I370" i="63"/>
  <c r="I49" i="57"/>
  <c r="I434" i="63"/>
  <c r="D91" i="54"/>
  <c r="E16" i="53"/>
  <c r="B4" i="54"/>
  <c r="H7" i="55"/>
  <c r="H195" i="54"/>
  <c r="B32" i="54"/>
  <c r="I24" i="55"/>
  <c r="E26" i="55"/>
  <c r="E15" i="54"/>
  <c r="E28" i="57"/>
  <c r="G21" i="55"/>
  <c r="I374" i="63"/>
  <c r="E25" i="55"/>
  <c r="E84" i="54"/>
  <c r="I8" i="58"/>
  <c r="I305" i="63"/>
  <c r="B120" i="54"/>
  <c r="I31" i="63"/>
  <c r="E51" i="63"/>
  <c r="C97" i="57"/>
  <c r="C433" i="63"/>
  <c r="I439" i="63" s="1"/>
  <c r="B69" i="53"/>
  <c r="F76" i="53"/>
  <c r="E95" i="63"/>
  <c r="F13" i="53"/>
  <c r="F4" i="54"/>
  <c r="D88" i="60"/>
  <c r="D232" i="54"/>
  <c r="B76" i="53"/>
  <c r="K82" i="53" s="1"/>
  <c r="D389" i="63"/>
  <c r="E252" i="54"/>
  <c r="E265" i="63"/>
  <c r="I271" i="63" s="1"/>
  <c r="F298" i="63"/>
  <c r="I304" i="63" s="1"/>
  <c r="C58" i="63"/>
  <c r="E436" i="63"/>
  <c r="E35" i="53"/>
  <c r="E156" i="54"/>
  <c r="E230" i="63"/>
  <c r="G24" i="55"/>
  <c r="F152" i="63"/>
  <c r="D294" i="54"/>
  <c r="E372" i="63"/>
  <c r="E120" i="63"/>
  <c r="E289" i="63"/>
  <c r="E267" i="54"/>
  <c r="B30" i="53"/>
  <c r="B75" i="53"/>
  <c r="E174" i="63"/>
  <c r="I180" i="63" s="1"/>
  <c r="B373" i="63"/>
  <c r="I379" i="63" s="1"/>
  <c r="I345" i="63"/>
  <c r="F221" i="54"/>
  <c r="D27" i="54"/>
  <c r="E285" i="54"/>
  <c r="E253" i="54"/>
  <c r="F216" i="54"/>
  <c r="I3" i="55"/>
  <c r="B221" i="54"/>
  <c r="G32" i="55"/>
  <c r="B44" i="54"/>
  <c r="F232" i="54"/>
  <c r="G5" i="55"/>
  <c r="F82" i="54"/>
  <c r="C48" i="63"/>
  <c r="F34" i="54"/>
  <c r="H263" i="54"/>
  <c r="F347" i="63"/>
  <c r="H35" i="54"/>
  <c r="I349" i="63"/>
  <c r="B39" i="53"/>
  <c r="I86" i="57"/>
  <c r="D174" i="54"/>
  <c r="F207" i="54"/>
  <c r="I448" i="63"/>
  <c r="H113" i="54"/>
  <c r="E129" i="63"/>
  <c r="D223" i="54"/>
  <c r="H164" i="54"/>
  <c r="B104" i="54"/>
  <c r="E17" i="63"/>
  <c r="F101" i="53"/>
  <c r="F114" i="54"/>
  <c r="C113" i="63"/>
  <c r="D62" i="54"/>
  <c r="I50" i="57"/>
  <c r="E183" i="54"/>
  <c r="H191" i="54"/>
  <c r="D102" i="63"/>
  <c r="H24" i="54"/>
  <c r="F247" i="54"/>
  <c r="D153" i="63"/>
  <c r="I159" i="63" s="1"/>
  <c r="C9" i="61"/>
  <c r="E15" i="63"/>
  <c r="D254" i="54"/>
  <c r="F248" i="54"/>
  <c r="E11" i="54"/>
  <c r="D29" i="63"/>
  <c r="I392" i="63"/>
  <c r="B31" i="54"/>
  <c r="C277" i="63"/>
  <c r="I283" i="63" s="1"/>
  <c r="N4" i="54"/>
  <c r="C35" i="63"/>
  <c r="D16" i="60"/>
  <c r="C101" i="60"/>
  <c r="C76" i="63"/>
  <c r="F236" i="54"/>
  <c r="E4" i="57"/>
  <c r="H85" i="54"/>
  <c r="C27" i="60"/>
  <c r="B268" i="54"/>
  <c r="F18" i="58"/>
  <c r="I24" i="58" s="1"/>
  <c r="F36" i="63"/>
  <c r="B35" i="53"/>
  <c r="E90" i="53"/>
  <c r="H133" i="54"/>
  <c r="F17" i="63"/>
  <c r="C293" i="63"/>
  <c r="H95" i="54"/>
  <c r="C11" i="63"/>
  <c r="B37" i="54"/>
  <c r="B125" i="63"/>
  <c r="D58" i="57"/>
  <c r="I65" i="57" s="1"/>
  <c r="E174" i="54"/>
  <c r="B157" i="54"/>
  <c r="D42" i="53"/>
  <c r="D8" i="55"/>
  <c r="D110" i="54"/>
  <c r="F211" i="63"/>
  <c r="E232" i="63"/>
  <c r="C417" i="63"/>
  <c r="I423" i="63" s="1"/>
  <c r="B110" i="54"/>
  <c r="I17" i="57"/>
  <c r="B22" i="60"/>
  <c r="H98" i="54"/>
  <c r="B112" i="54"/>
  <c r="D139" i="54"/>
  <c r="H223" i="54"/>
  <c r="C355" i="63"/>
  <c r="B448" i="63"/>
  <c r="E158" i="54"/>
  <c r="E187" i="63"/>
  <c r="E246" i="63"/>
  <c r="B45" i="60"/>
  <c r="E92" i="63"/>
  <c r="D67" i="60"/>
  <c r="D273" i="54"/>
  <c r="B204" i="54"/>
  <c r="C83" i="57"/>
  <c r="I90" i="57" s="1"/>
  <c r="D346" i="63"/>
  <c r="H237" i="54"/>
  <c r="I444" i="63"/>
  <c r="F3" i="58"/>
  <c r="I218" i="63"/>
  <c r="B21" i="54"/>
  <c r="C397" i="63"/>
  <c r="I403" i="63" s="1"/>
  <c r="I333" i="63"/>
  <c r="D24" i="53"/>
  <c r="E350" i="63"/>
  <c r="H29" i="54"/>
  <c r="C85" i="60"/>
  <c r="D82" i="54"/>
  <c r="N18" i="55"/>
  <c r="E185" i="63"/>
  <c r="I191" i="63" s="1"/>
  <c r="E31" i="54"/>
  <c r="E113" i="54"/>
  <c r="F7" i="54"/>
  <c r="F48" i="53"/>
  <c r="E76" i="63"/>
  <c r="F295" i="54"/>
  <c r="F94" i="63"/>
  <c r="E74" i="54"/>
  <c r="G26" i="55"/>
  <c r="B54" i="60"/>
  <c r="F198" i="63"/>
  <c r="I43" i="63"/>
  <c r="E272" i="54"/>
  <c r="H227" i="54"/>
  <c r="I303" i="63"/>
  <c r="D193" i="54"/>
  <c r="F169" i="63"/>
  <c r="C61" i="63"/>
  <c r="B130" i="54"/>
  <c r="E66" i="54"/>
  <c r="I199" i="63"/>
  <c r="D328" i="63"/>
  <c r="C305" i="63"/>
  <c r="B64" i="54"/>
  <c r="F16" i="55"/>
  <c r="I17" i="55"/>
  <c r="D107" i="54"/>
  <c r="I328" i="63"/>
  <c r="I252" i="63"/>
  <c r="E98" i="63"/>
  <c r="D19" i="63"/>
  <c r="I266" i="63"/>
  <c r="H88" i="54"/>
  <c r="H21" i="54"/>
  <c r="C66" i="63"/>
  <c r="F5" i="55"/>
  <c r="D10" i="55"/>
  <c r="E83" i="53"/>
  <c r="I375" i="63"/>
  <c r="D29" i="54"/>
  <c r="I18" i="58"/>
  <c r="I418" i="63"/>
  <c r="F193" i="54"/>
  <c r="C72" i="63"/>
  <c r="I120" i="63"/>
  <c r="E89" i="57"/>
  <c r="E25" i="54"/>
  <c r="F32" i="55"/>
  <c r="D23" i="63"/>
  <c r="F13" i="54"/>
  <c r="D117" i="63"/>
  <c r="D136" i="54"/>
  <c r="H8" i="54"/>
  <c r="D40" i="60"/>
  <c r="F63" i="53"/>
  <c r="B266" i="54"/>
  <c r="B301" i="54"/>
  <c r="I436" i="63"/>
  <c r="B208" i="54"/>
  <c r="C63" i="60"/>
  <c r="E20" i="58"/>
  <c r="E230" i="54"/>
  <c r="C8" i="63"/>
  <c r="G19" i="55"/>
  <c r="F16" i="54"/>
  <c r="E48" i="54"/>
  <c r="I357" i="63"/>
  <c r="E134" i="54"/>
  <c r="D78" i="63"/>
  <c r="H203" i="54"/>
  <c r="F100" i="54"/>
  <c r="D90" i="63"/>
  <c r="F21" i="57"/>
  <c r="K12" i="53"/>
  <c r="B282" i="54"/>
  <c r="I14" i="57"/>
  <c r="F286" i="54"/>
  <c r="B17" i="54"/>
  <c r="D35" i="53"/>
  <c r="F410" i="63"/>
  <c r="B16" i="60"/>
  <c r="B108" i="54"/>
  <c r="B106" i="54"/>
  <c r="K29" i="53"/>
  <c r="I83" i="57"/>
  <c r="I382" i="63"/>
  <c r="H14" i="55"/>
  <c r="H87" i="54"/>
  <c r="B43" i="54"/>
  <c r="I269" i="63"/>
  <c r="B287" i="54"/>
  <c r="K23" i="53"/>
  <c r="B13" i="54"/>
  <c r="I16" i="55"/>
  <c r="E29" i="55"/>
  <c r="C22" i="63"/>
  <c r="C319" i="63"/>
  <c r="B117" i="54"/>
  <c r="F6" i="55"/>
  <c r="I26" i="55"/>
  <c r="E96" i="54"/>
  <c r="D69" i="53"/>
  <c r="I232" i="63"/>
  <c r="D66" i="60"/>
  <c r="H35" i="55"/>
  <c r="C93" i="63"/>
  <c r="D159" i="54"/>
  <c r="E188" i="54"/>
  <c r="F21" i="55"/>
  <c r="I68" i="57"/>
  <c r="D320" i="63"/>
  <c r="I402" i="63"/>
  <c r="I9" i="58"/>
  <c r="D150" i="54"/>
  <c r="D99" i="53"/>
  <c r="K21" i="53"/>
  <c r="I15" i="55"/>
  <c r="C84" i="63"/>
  <c r="B284" i="54"/>
  <c r="I372" i="63"/>
  <c r="D46" i="54"/>
  <c r="D8" i="53"/>
  <c r="D113" i="54"/>
  <c r="F27" i="55"/>
  <c r="I38" i="55"/>
  <c r="I37" i="63"/>
  <c r="G23" i="55"/>
  <c r="C79" i="63"/>
  <c r="F147" i="54"/>
  <c r="D272" i="54"/>
  <c r="B77" i="54"/>
  <c r="D16" i="55"/>
  <c r="F198" i="54"/>
  <c r="D22" i="55"/>
  <c r="F14" i="55"/>
  <c r="B91" i="63"/>
  <c r="H149" i="54"/>
  <c r="D5" i="55"/>
  <c r="E429" i="63"/>
  <c r="F35" i="55"/>
  <c r="D82" i="63"/>
  <c r="E200" i="54"/>
  <c r="I409" i="63"/>
  <c r="H40" i="55"/>
  <c r="I141" i="63"/>
  <c r="E45" i="54"/>
  <c r="D3" i="53"/>
  <c r="F30" i="53"/>
  <c r="I24" i="57"/>
  <c r="B79" i="53"/>
  <c r="F270" i="54"/>
  <c r="C341" i="63"/>
  <c r="I20" i="55"/>
  <c r="B239" i="63"/>
  <c r="D72" i="53"/>
  <c r="E256" i="63"/>
  <c r="H99" i="54"/>
  <c r="C3" i="60"/>
  <c r="E90" i="63"/>
  <c r="H69" i="54"/>
  <c r="D242" i="63"/>
  <c r="I248" i="63" s="1"/>
  <c r="I447" i="63"/>
  <c r="D91" i="63"/>
  <c r="B215" i="54"/>
  <c r="D95" i="54"/>
  <c r="E188" i="63"/>
  <c r="D66" i="54"/>
  <c r="D22" i="54"/>
  <c r="N6" i="55"/>
  <c r="H136" i="54"/>
  <c r="F281" i="54"/>
  <c r="I200" i="63"/>
  <c r="H5" i="55"/>
  <c r="F209" i="63"/>
  <c r="E3" i="55"/>
  <c r="F136" i="54"/>
  <c r="C21" i="60"/>
  <c r="D92" i="53"/>
  <c r="K98" i="53" s="1"/>
  <c r="B195" i="54"/>
  <c r="E39" i="55"/>
  <c r="C27" i="63"/>
  <c r="D17" i="63"/>
  <c r="F285" i="54"/>
  <c r="G40" i="55"/>
  <c r="H260" i="54"/>
  <c r="C363" i="63"/>
  <c r="I236" i="63"/>
  <c r="B83" i="53"/>
  <c r="I378" i="63"/>
  <c r="C229" i="63"/>
  <c r="D98" i="54"/>
  <c r="E394" i="63"/>
  <c r="D251" i="54"/>
  <c r="I89" i="63"/>
  <c r="I101" i="63"/>
  <c r="I367" i="63"/>
  <c r="I169" i="63"/>
  <c r="N13" i="55"/>
  <c r="B180" i="54"/>
  <c r="C24" i="63"/>
  <c r="E213" i="63"/>
  <c r="F96" i="57"/>
  <c r="E41" i="55"/>
  <c r="H180" i="54"/>
  <c r="K26" i="53"/>
  <c r="D30" i="54"/>
  <c r="E237" i="54"/>
  <c r="H148" i="54"/>
  <c r="I355" i="63"/>
  <c r="C17" i="63"/>
  <c r="D70" i="53"/>
  <c r="I50" i="63"/>
  <c r="G16" i="55"/>
  <c r="D84" i="53"/>
  <c r="E177" i="63"/>
  <c r="H139" i="54"/>
  <c r="C332" i="63"/>
  <c r="D26" i="63"/>
  <c r="H31" i="55"/>
  <c r="C70" i="63"/>
  <c r="I399" i="63"/>
  <c r="B105" i="54"/>
  <c r="E218" i="54"/>
  <c r="D347" i="63"/>
  <c r="F64" i="57"/>
  <c r="I71" i="57" s="1"/>
  <c r="F66" i="63"/>
  <c r="H276" i="54"/>
  <c r="H199" i="54"/>
  <c r="D293" i="54"/>
  <c r="C38" i="63"/>
  <c r="E35" i="55"/>
  <c r="N3" i="55"/>
  <c r="D6" i="60"/>
  <c r="H249" i="54"/>
  <c r="F26" i="53"/>
  <c r="E163" i="54"/>
  <c r="E270" i="54"/>
  <c r="I364" i="63"/>
  <c r="D60" i="53"/>
  <c r="H34" i="55"/>
  <c r="E220" i="63"/>
  <c r="E2" i="54"/>
  <c r="F98" i="63"/>
  <c r="I104" i="63" s="1"/>
  <c r="D5" i="53"/>
  <c r="H117" i="54"/>
  <c r="G33" i="55"/>
  <c r="G29" i="55"/>
  <c r="I136" i="63"/>
  <c r="H246" i="54"/>
  <c r="B22" i="53"/>
  <c r="N21" i="55"/>
  <c r="N31" i="55"/>
  <c r="B19" i="57"/>
  <c r="I110" i="63"/>
  <c r="B18" i="54"/>
  <c r="H8" i="55"/>
  <c r="N15" i="55"/>
  <c r="B144" i="54"/>
  <c r="F10" i="55"/>
  <c r="B244" i="54"/>
  <c r="I153" i="63"/>
  <c r="N11" i="55"/>
  <c r="I20" i="58"/>
  <c r="H295" i="54"/>
  <c r="D15" i="63"/>
  <c r="I12" i="55"/>
  <c r="D36" i="53"/>
  <c r="F157" i="63"/>
  <c r="D18" i="55"/>
  <c r="E68" i="54"/>
  <c r="D48" i="63"/>
  <c r="I101" i="57"/>
  <c r="C348" i="63"/>
  <c r="H153" i="54"/>
  <c r="D116" i="54"/>
  <c r="I39" i="57"/>
  <c r="E41" i="63"/>
  <c r="H232" i="54"/>
  <c r="D79" i="60"/>
  <c r="D15" i="55"/>
  <c r="F201" i="54"/>
  <c r="I34" i="55"/>
  <c r="C18" i="63"/>
  <c r="I320" i="63"/>
  <c r="D12" i="60"/>
  <c r="I179" i="63"/>
  <c r="D90" i="57"/>
  <c r="I396" i="63"/>
  <c r="F100" i="53"/>
  <c r="F18" i="55"/>
  <c r="C90" i="63"/>
  <c r="D10" i="53"/>
  <c r="F269" i="54"/>
  <c r="F8" i="58"/>
  <c r="D228" i="63"/>
  <c r="B196" i="54"/>
  <c r="I437" i="63"/>
  <c r="E427" i="63"/>
  <c r="H90" i="54"/>
  <c r="I116" i="63"/>
  <c r="E16" i="55"/>
  <c r="D4" i="60"/>
  <c r="I156" i="63"/>
  <c r="B101" i="60"/>
  <c r="D32" i="55"/>
  <c r="D325" i="63"/>
  <c r="I221" i="63"/>
  <c r="I309" i="63"/>
  <c r="D40" i="53"/>
  <c r="D34" i="54"/>
  <c r="D24" i="55"/>
  <c r="I105" i="63"/>
  <c r="F30" i="55"/>
  <c r="I297" i="63"/>
  <c r="H20" i="55"/>
  <c r="E70" i="54"/>
  <c r="B33" i="53"/>
  <c r="F258" i="54"/>
  <c r="E276" i="63"/>
  <c r="I246" i="63"/>
  <c r="K8" i="53"/>
  <c r="H230" i="54"/>
  <c r="I276" i="63"/>
  <c r="E15" i="58"/>
  <c r="F292" i="54"/>
  <c r="B187" i="54"/>
  <c r="D281" i="63"/>
  <c r="H10" i="55"/>
  <c r="I47" i="57"/>
  <c r="E233" i="63"/>
  <c r="G34" i="55"/>
  <c r="D222" i="63"/>
  <c r="F262" i="54"/>
  <c r="F254" i="63"/>
  <c r="N10" i="54"/>
  <c r="C192" i="63"/>
  <c r="H106" i="54"/>
  <c r="I81" i="57"/>
  <c r="D33" i="63"/>
  <c r="D199" i="54"/>
  <c r="I317" i="63"/>
  <c r="B67" i="57"/>
  <c r="E261" i="54"/>
  <c r="B32" i="63"/>
  <c r="B30" i="57"/>
  <c r="C20" i="57"/>
  <c r="D249" i="54"/>
  <c r="H155" i="54"/>
  <c r="D149" i="63"/>
  <c r="I155" i="63" s="1"/>
  <c r="E228" i="63"/>
  <c r="F166" i="54"/>
  <c r="N27" i="55"/>
  <c r="I390" i="63"/>
  <c r="I27" i="55"/>
  <c r="D42" i="63"/>
  <c r="H105" i="54"/>
  <c r="H217" i="54"/>
  <c r="F210" i="63"/>
  <c r="F350" i="63"/>
  <c r="D60" i="63"/>
  <c r="I66" i="63" s="1"/>
  <c r="F208" i="54"/>
  <c r="D172" i="54"/>
  <c r="I230" i="63"/>
  <c r="E110" i="54"/>
  <c r="B154" i="54"/>
  <c r="D68" i="54"/>
  <c r="E209" i="54"/>
  <c r="B96" i="53"/>
  <c r="N30" i="55"/>
  <c r="E18" i="54"/>
  <c r="B238" i="54"/>
  <c r="F69" i="54"/>
  <c r="E140" i="63"/>
  <c r="I34" i="63"/>
  <c r="I30" i="57"/>
  <c r="C92" i="63"/>
  <c r="D71" i="63"/>
  <c r="I77" i="63" s="1"/>
  <c r="C392" i="63"/>
  <c r="D34" i="55"/>
  <c r="D88" i="53"/>
  <c r="E340" i="63"/>
  <c r="H140" i="54"/>
  <c r="E226" i="54"/>
  <c r="C50" i="63"/>
  <c r="D43" i="53"/>
  <c r="B37" i="53"/>
  <c r="I206" i="63"/>
  <c r="D31" i="55"/>
  <c r="I300" i="63"/>
  <c r="F41" i="54"/>
  <c r="D149" i="54"/>
  <c r="C52" i="63"/>
  <c r="E216" i="63"/>
  <c r="C4" i="63"/>
  <c r="I144" i="63"/>
  <c r="E85" i="53"/>
  <c r="H4" i="55"/>
  <c r="E38" i="55"/>
  <c r="B62" i="60"/>
  <c r="D53" i="53"/>
  <c r="B62" i="53"/>
  <c r="B91" i="54"/>
  <c r="D81" i="63"/>
  <c r="I302" i="63"/>
  <c r="F5" i="53"/>
  <c r="D117" i="54"/>
  <c r="D156" i="54"/>
  <c r="I337" i="63"/>
  <c r="C78" i="57"/>
  <c r="F8" i="55"/>
  <c r="I268" i="63"/>
  <c r="I67" i="63"/>
  <c r="F11" i="55"/>
  <c r="I280" i="63"/>
  <c r="C84" i="57"/>
  <c r="E208" i="54"/>
  <c r="H13" i="55"/>
  <c r="C141" i="63"/>
  <c r="H12" i="55"/>
  <c r="E210" i="54"/>
  <c r="F33" i="55"/>
  <c r="F65" i="54"/>
  <c r="D55" i="63"/>
  <c r="C156" i="63"/>
  <c r="H160" i="54"/>
  <c r="F309" i="63"/>
  <c r="I165" i="63"/>
  <c r="I440" i="63"/>
  <c r="D29" i="55"/>
  <c r="I21" i="55"/>
  <c r="I319" i="63"/>
  <c r="I35" i="55"/>
  <c r="F40" i="55"/>
  <c r="I376" i="63"/>
  <c r="F168" i="63"/>
  <c r="H3" i="55"/>
  <c r="H21" i="55"/>
  <c r="N19" i="55"/>
  <c r="N34" i="55"/>
  <c r="D171" i="63"/>
  <c r="K72" i="53"/>
  <c r="D80" i="53"/>
  <c r="N4" i="55"/>
  <c r="I360" i="63"/>
  <c r="D20" i="55"/>
  <c r="D399" i="63"/>
  <c r="I405" i="63" s="1"/>
  <c r="F81" i="53"/>
  <c r="N10" i="55"/>
  <c r="I432" i="63"/>
  <c r="D86" i="54"/>
  <c r="D78" i="53"/>
  <c r="E258" i="54"/>
  <c r="N5" i="54"/>
  <c r="I152" i="63"/>
  <c r="G12" i="55"/>
  <c r="C78" i="63"/>
  <c r="I2" i="55"/>
  <c r="E247" i="54"/>
  <c r="G9" i="55"/>
  <c r="E203" i="54"/>
  <c r="E319" i="63"/>
  <c r="K58" i="53"/>
  <c r="C69" i="63"/>
  <c r="I216" i="63"/>
  <c r="H238" i="54"/>
  <c r="C55" i="63"/>
  <c r="D230" i="54"/>
  <c r="E97" i="54"/>
  <c r="G11" i="55"/>
  <c r="I115" i="63"/>
  <c r="C132" i="63"/>
  <c r="E145" i="63"/>
  <c r="I244" i="63"/>
  <c r="F34" i="55"/>
  <c r="F323" i="63"/>
  <c r="D167" i="63"/>
  <c r="I173" i="63" s="1"/>
  <c r="D87" i="57"/>
  <c r="I94" i="57" s="1"/>
  <c r="E28" i="53"/>
  <c r="E234" i="54"/>
  <c r="B42" i="60"/>
  <c r="I267" i="63"/>
  <c r="D79" i="54"/>
  <c r="I386" i="63"/>
  <c r="E161" i="54"/>
  <c r="C85" i="57"/>
  <c r="H125" i="54"/>
  <c r="D124" i="54"/>
  <c r="E88" i="54"/>
  <c r="D35" i="63"/>
  <c r="C6" i="60"/>
  <c r="B68" i="54"/>
  <c r="G22" i="55"/>
  <c r="B259" i="54"/>
  <c r="D235" i="54"/>
  <c r="F25" i="53"/>
  <c r="B248" i="54"/>
  <c r="I410" i="63"/>
  <c r="F66" i="54"/>
  <c r="D39" i="53"/>
  <c r="E36" i="53"/>
  <c r="C33" i="63"/>
  <c r="B119" i="54"/>
  <c r="I292" i="63"/>
  <c r="D87" i="53"/>
  <c r="D93" i="53"/>
  <c r="I72" i="57"/>
  <c r="N37" i="55"/>
  <c r="E37" i="54"/>
  <c r="H58" i="54"/>
  <c r="I39" i="55"/>
  <c r="D4" i="53"/>
  <c r="C421" i="63"/>
  <c r="G7" i="55"/>
  <c r="K25" i="53"/>
  <c r="E297" i="54"/>
  <c r="E70" i="63"/>
  <c r="I26" i="58"/>
  <c r="D9" i="54"/>
  <c r="E61" i="54"/>
  <c r="H122" i="54"/>
  <c r="D77" i="53"/>
  <c r="I92" i="57"/>
  <c r="C306" i="63"/>
  <c r="E86" i="57"/>
  <c r="B90" i="53"/>
  <c r="F318" i="63"/>
  <c r="F29" i="53"/>
  <c r="F108" i="54"/>
  <c r="G17" i="55"/>
  <c r="I100" i="63"/>
  <c r="I106" i="63"/>
  <c r="I149" i="63"/>
  <c r="B24" i="53"/>
  <c r="C65" i="63"/>
  <c r="F12" i="55"/>
  <c r="B29" i="53"/>
  <c r="D208" i="54"/>
  <c r="E50" i="63"/>
  <c r="B13" i="53"/>
  <c r="I291" i="63"/>
  <c r="D27" i="55"/>
  <c r="F169" i="54"/>
  <c r="B256" i="54"/>
  <c r="F296" i="54"/>
  <c r="I40" i="57"/>
  <c r="B56" i="60"/>
  <c r="D166" i="54"/>
  <c r="D226" i="54"/>
  <c r="F238" i="54"/>
  <c r="D35" i="54"/>
  <c r="I142" i="63"/>
  <c r="I11" i="55"/>
  <c r="E21" i="55"/>
  <c r="B178" i="54"/>
  <c r="B286" i="54"/>
  <c r="C37" i="60"/>
  <c r="I454" i="63"/>
  <c r="C2" i="61"/>
  <c r="I284" i="63"/>
  <c r="E88" i="57"/>
  <c r="F73" i="63"/>
  <c r="F287" i="54"/>
  <c r="I225" i="63"/>
  <c r="D41" i="53"/>
  <c r="E293" i="63"/>
  <c r="I299" i="63" s="1"/>
  <c r="E55" i="63"/>
  <c r="E92" i="57"/>
  <c r="D58" i="63"/>
  <c r="I64" i="63" s="1"/>
  <c r="H40" i="54"/>
  <c r="I285" i="63"/>
  <c r="E20" i="63"/>
  <c r="C91" i="60"/>
  <c r="I419" i="63"/>
  <c r="I15" i="57"/>
  <c r="B37" i="57"/>
  <c r="B207" i="54"/>
  <c r="I348" i="63"/>
  <c r="D61" i="53"/>
  <c r="I14" i="55"/>
  <c r="F33" i="63"/>
  <c r="H296" i="54"/>
  <c r="I205" i="63"/>
  <c r="I286" i="63"/>
  <c r="B212" i="54"/>
  <c r="E388" i="63"/>
  <c r="E187" i="54"/>
  <c r="I34" i="57"/>
  <c r="I61" i="57"/>
  <c r="I253" i="63"/>
  <c r="C13" i="63"/>
  <c r="I135" i="63"/>
  <c r="B123" i="54"/>
  <c r="F13" i="55"/>
  <c r="I23" i="55"/>
  <c r="D34" i="63"/>
  <c r="B297" i="54"/>
  <c r="B34" i="54"/>
  <c r="D33" i="55"/>
  <c r="B122" i="54"/>
  <c r="B235" i="54"/>
  <c r="D179" i="54"/>
  <c r="E34" i="53"/>
  <c r="B57" i="54"/>
  <c r="I84" i="57"/>
  <c r="D152" i="54"/>
  <c r="D90" i="53"/>
  <c r="I54" i="57"/>
  <c r="B16" i="53"/>
  <c r="N3" i="54"/>
  <c r="B6" i="60"/>
  <c r="N26" i="55"/>
  <c r="K81" i="53"/>
  <c r="B54" i="53"/>
  <c r="C59" i="63"/>
  <c r="D5" i="63"/>
  <c r="N39" i="55"/>
  <c r="B172" i="54"/>
  <c r="B101" i="54"/>
  <c r="B22" i="54"/>
  <c r="D94" i="53"/>
  <c r="D88" i="63"/>
  <c r="D276" i="54"/>
  <c r="B267" i="54"/>
  <c r="I29" i="55"/>
  <c r="H168" i="54"/>
  <c r="B42" i="53"/>
  <c r="H194" i="54"/>
  <c r="I77" i="57"/>
  <c r="D288" i="63"/>
  <c r="K66" i="53"/>
  <c r="K100" i="53"/>
  <c r="E28" i="55"/>
  <c r="C75" i="63"/>
  <c r="C14" i="60"/>
  <c r="D57" i="63"/>
  <c r="D86" i="57"/>
  <c r="F21" i="54"/>
  <c r="D57" i="54"/>
  <c r="D46" i="53"/>
  <c r="E291" i="54"/>
  <c r="B226" i="54"/>
  <c r="I102" i="57"/>
  <c r="I6" i="55"/>
  <c r="G13" i="55"/>
  <c r="D54" i="63"/>
  <c r="B48" i="54"/>
  <c r="F24" i="55"/>
  <c r="I27" i="58"/>
  <c r="K37" i="53"/>
  <c r="I58" i="57"/>
  <c r="I383" i="63"/>
  <c r="D128" i="54"/>
  <c r="B170" i="63"/>
  <c r="H119" i="54"/>
  <c r="B89" i="53"/>
  <c r="E227" i="63"/>
  <c r="D36" i="60"/>
  <c r="I334" i="63"/>
  <c r="I425" i="63"/>
  <c r="H23" i="55"/>
  <c r="K59" i="53"/>
  <c r="I203" i="63"/>
  <c r="I25" i="57"/>
  <c r="C80" i="57"/>
  <c r="D30" i="63"/>
  <c r="I196" i="63"/>
  <c r="D44" i="53"/>
  <c r="G2" i="55"/>
  <c r="B188" i="54"/>
  <c r="D7" i="53"/>
  <c r="I247" i="63"/>
  <c r="E87" i="54"/>
  <c r="D140" i="63"/>
  <c r="D96" i="53"/>
  <c r="K102" i="53" s="1"/>
  <c r="C43" i="60"/>
  <c r="I412" i="63"/>
  <c r="E141" i="54"/>
  <c r="C40" i="60"/>
  <c r="H173" i="54"/>
  <c r="F132" i="54"/>
  <c r="C12" i="63"/>
  <c r="D72" i="63"/>
  <c r="E49" i="53"/>
  <c r="D63" i="53"/>
  <c r="B103" i="54"/>
  <c r="G28" i="55"/>
  <c r="G39" i="55"/>
  <c r="D11" i="63"/>
  <c r="D211" i="54"/>
  <c r="I10" i="58"/>
  <c r="E407" i="63"/>
  <c r="I91" i="63"/>
  <c r="F2" i="55"/>
  <c r="E32" i="54"/>
  <c r="D244" i="54"/>
  <c r="D14" i="55"/>
  <c r="I57" i="57"/>
  <c r="D23" i="55"/>
  <c r="E132" i="63"/>
  <c r="C96" i="60"/>
  <c r="I48" i="57"/>
  <c r="F148" i="54"/>
  <c r="D135" i="54"/>
  <c r="E9" i="55"/>
  <c r="F273" i="54"/>
  <c r="I314" i="63"/>
  <c r="F11" i="53"/>
  <c r="H197" i="54"/>
  <c r="E131" i="54"/>
  <c r="G37" i="55"/>
  <c r="F55" i="54"/>
  <c r="B61" i="53"/>
  <c r="D70" i="63"/>
  <c r="F6" i="58"/>
  <c r="F29" i="55"/>
  <c r="I11" i="57"/>
  <c r="I381" i="63"/>
  <c r="F32" i="54"/>
  <c r="E300" i="54"/>
  <c r="B230" i="54"/>
  <c r="I5" i="55"/>
  <c r="E44" i="54"/>
  <c r="I21" i="57"/>
  <c r="B166" i="54"/>
  <c r="D221" i="63"/>
  <c r="D97" i="54"/>
  <c r="B41" i="54"/>
  <c r="E10" i="55"/>
  <c r="I88" i="57"/>
  <c r="I108" i="63"/>
  <c r="I19" i="58"/>
  <c r="I25" i="55"/>
  <c r="C48" i="57"/>
  <c r="I55" i="57" s="1"/>
  <c r="E229" i="54"/>
  <c r="I82" i="57"/>
  <c r="D52" i="63"/>
  <c r="C2" i="60"/>
  <c r="D72" i="60"/>
  <c r="D109" i="54"/>
  <c r="I99" i="57"/>
  <c r="C256" i="63"/>
  <c r="E12" i="54"/>
  <c r="D209" i="63"/>
  <c r="F70" i="54"/>
  <c r="I182" i="63"/>
  <c r="I19" i="55"/>
  <c r="E125" i="54"/>
  <c r="D92" i="63"/>
  <c r="I98" i="63" s="1"/>
  <c r="F3" i="54"/>
  <c r="E171" i="54"/>
  <c r="F117" i="63"/>
  <c r="I123" i="63" s="1"/>
  <c r="B161" i="63"/>
  <c r="I344" i="63"/>
  <c r="F233" i="54"/>
  <c r="B95" i="54"/>
  <c r="E57" i="54"/>
  <c r="C97" i="63"/>
  <c r="K51" i="53"/>
  <c r="B38" i="57"/>
  <c r="F15" i="55"/>
  <c r="B190" i="54"/>
  <c r="F203" i="54"/>
  <c r="I197" i="63"/>
  <c r="I126" i="63"/>
  <c r="F54" i="53"/>
  <c r="E71" i="54"/>
  <c r="B28" i="57"/>
  <c r="D32" i="53"/>
  <c r="N20" i="55"/>
  <c r="N9" i="55"/>
  <c r="E223" i="63"/>
  <c r="I229" i="63" s="1"/>
  <c r="B87" i="60"/>
  <c r="I36" i="57"/>
  <c r="N22" i="55"/>
  <c r="F84" i="54"/>
  <c r="D67" i="63"/>
  <c r="F182" i="54"/>
  <c r="I307" i="63"/>
  <c r="I313" i="63"/>
  <c r="B133" i="54"/>
  <c r="H9" i="55"/>
  <c r="D217" i="63"/>
  <c r="F106" i="63"/>
  <c r="H154" i="54"/>
  <c r="H251" i="54"/>
  <c r="I295" i="63"/>
  <c r="I15" i="58"/>
  <c r="D39" i="55"/>
  <c r="E30" i="54"/>
  <c r="E207" i="54"/>
  <c r="B185" i="54"/>
  <c r="E337" i="63"/>
  <c r="I308" i="63"/>
  <c r="B14" i="54"/>
  <c r="I158" i="63"/>
  <c r="F19" i="55"/>
  <c r="E33" i="55"/>
  <c r="I54" i="63"/>
  <c r="F55" i="53"/>
  <c r="B109" i="54"/>
  <c r="I102" i="63"/>
  <c r="E91" i="63"/>
  <c r="N38" i="55"/>
  <c r="I31" i="57"/>
  <c r="F22" i="55"/>
  <c r="K94" i="53"/>
  <c r="E63" i="54"/>
  <c r="I13" i="58"/>
  <c r="B36" i="54"/>
  <c r="D112" i="63"/>
  <c r="H41" i="54"/>
  <c r="D250" i="63"/>
  <c r="I335" i="63"/>
  <c r="E6" i="55"/>
  <c r="I306" i="63"/>
  <c r="B36" i="53"/>
  <c r="F225" i="54"/>
  <c r="K95" i="53"/>
  <c r="D213" i="63"/>
  <c r="B281" i="54"/>
  <c r="H286" i="54"/>
  <c r="I395" i="63"/>
  <c r="D37" i="53"/>
  <c r="I62" i="57"/>
  <c r="N36" i="55"/>
  <c r="E41" i="54"/>
  <c r="I52" i="63"/>
  <c r="C68" i="63"/>
  <c r="D22" i="63"/>
  <c r="E24" i="53"/>
  <c r="B155" i="54"/>
  <c r="H243" i="54"/>
  <c r="D42" i="54"/>
  <c r="H3" i="54"/>
  <c r="H116" i="54"/>
  <c r="D104" i="54"/>
  <c r="D9" i="61"/>
  <c r="N1" i="54"/>
  <c r="D119" i="63"/>
  <c r="I125" i="63" s="1"/>
  <c r="H24" i="55"/>
  <c r="I278" i="63"/>
  <c r="G20" i="55"/>
  <c r="D16" i="53"/>
  <c r="C49" i="63"/>
  <c r="I33" i="57"/>
  <c r="D55" i="53"/>
  <c r="C237" i="63"/>
  <c r="I243" i="63" s="1"/>
  <c r="H278" i="54"/>
  <c r="D173" i="54"/>
  <c r="C32" i="63"/>
  <c r="B14" i="53"/>
  <c r="K20" i="53" s="1"/>
  <c r="D49" i="54"/>
  <c r="E207" i="63"/>
  <c r="D48" i="53"/>
  <c r="I132" i="63"/>
  <c r="B293" i="54"/>
  <c r="N16" i="55"/>
  <c r="I53" i="57"/>
  <c r="B28" i="53"/>
  <c r="I387" i="63"/>
  <c r="I26" i="63"/>
  <c r="E22" i="55"/>
  <c r="C15" i="57"/>
  <c r="I22" i="57" s="1"/>
  <c r="D76" i="63"/>
  <c r="I82" i="63" s="1"/>
  <c r="D45" i="63"/>
  <c r="I51" i="63" s="1"/>
  <c r="C37" i="57"/>
  <c r="I44" i="57" s="1"/>
  <c r="E439" i="63"/>
  <c r="C26" i="63"/>
  <c r="H72" i="54"/>
  <c r="B170" i="54"/>
  <c r="D91" i="53"/>
  <c r="I30" i="55"/>
  <c r="I13" i="55"/>
  <c r="F72" i="57"/>
  <c r="I79" i="57" s="1"/>
  <c r="B52" i="60"/>
  <c r="F240" i="54"/>
  <c r="E81" i="63"/>
  <c r="F16" i="58"/>
  <c r="I22" i="58" s="1"/>
  <c r="I104" i="57"/>
  <c r="B197" i="54"/>
  <c r="E255" i="54"/>
  <c r="I442" i="63"/>
  <c r="E2" i="63"/>
  <c r="I293" i="63"/>
  <c r="K33" i="53"/>
  <c r="E118" i="54"/>
  <c r="I12" i="57"/>
  <c r="D287" i="54"/>
  <c r="F167" i="54"/>
  <c r="D82" i="60"/>
  <c r="B3" i="54"/>
  <c r="F109" i="54"/>
  <c r="D31" i="54"/>
  <c r="I377" i="63"/>
  <c r="E29" i="63"/>
  <c r="E23" i="55"/>
  <c r="B198" i="54"/>
  <c r="I111" i="63"/>
  <c r="D96" i="54"/>
  <c r="D114" i="54"/>
  <c r="I36" i="63"/>
  <c r="I393" i="63"/>
  <c r="I401" i="63"/>
  <c r="K93" i="53"/>
  <c r="B5" i="53"/>
  <c r="K11" i="53" s="1"/>
  <c r="E16" i="54"/>
  <c r="E409" i="63"/>
  <c r="H38" i="55"/>
  <c r="I23" i="57"/>
  <c r="B86" i="53"/>
  <c r="D13" i="55"/>
  <c r="C67" i="63"/>
  <c r="D38" i="53"/>
  <c r="E11" i="58"/>
  <c r="D14" i="54"/>
  <c r="D57" i="53"/>
  <c r="I128" i="63"/>
  <c r="B271" i="54"/>
  <c r="C7" i="60"/>
  <c r="B76" i="54"/>
  <c r="I359" i="63"/>
  <c r="N24" i="55"/>
  <c r="I452" i="63"/>
  <c r="D115" i="54"/>
  <c r="D28" i="53"/>
  <c r="I385" i="63"/>
  <c r="E287" i="54"/>
  <c r="H4" i="54"/>
  <c r="D22" i="53"/>
  <c r="B67" i="53"/>
  <c r="E19" i="55"/>
  <c r="F133" i="54"/>
  <c r="C56" i="63"/>
  <c r="E205" i="54"/>
  <c r="E185" i="54"/>
  <c r="B12" i="53"/>
  <c r="G3" i="55"/>
  <c r="I208" i="63"/>
  <c r="I137" i="63"/>
  <c r="E67" i="57"/>
  <c r="D36" i="55"/>
  <c r="C251" i="63"/>
  <c r="C38" i="57"/>
  <c r="E383" i="63"/>
  <c r="I411" i="63"/>
  <c r="I264" i="63"/>
  <c r="H200" i="54"/>
  <c r="D29" i="53"/>
  <c r="D352" i="63"/>
  <c r="F111" i="54"/>
  <c r="D37" i="55"/>
  <c r="I22" i="55"/>
  <c r="D67" i="53"/>
  <c r="E223" i="54"/>
  <c r="F5" i="54"/>
  <c r="N17" i="55"/>
  <c r="I211" i="63"/>
  <c r="E275" i="54"/>
  <c r="D55" i="54"/>
  <c r="D28" i="55"/>
  <c r="D87" i="60"/>
  <c r="B40" i="54"/>
  <c r="I365" i="63"/>
  <c r="B18" i="53"/>
  <c r="E11" i="55"/>
  <c r="D195" i="54"/>
  <c r="I175" i="63"/>
  <c r="B186" i="54"/>
  <c r="I69" i="63"/>
  <c r="F101" i="54"/>
  <c r="D10" i="54"/>
  <c r="I415" i="63"/>
  <c r="I228" i="63"/>
  <c r="I404" i="63"/>
  <c r="H157" i="54"/>
  <c r="I37" i="57"/>
  <c r="H259" i="54"/>
  <c r="I16" i="58"/>
  <c r="I316" i="63"/>
  <c r="I28" i="57"/>
  <c r="F148" i="63"/>
  <c r="I154" i="63" s="1"/>
  <c r="D6" i="63"/>
  <c r="I71" i="63"/>
  <c r="I95" i="63"/>
  <c r="K68" i="53"/>
  <c r="I30" i="63"/>
  <c r="K28" i="53"/>
  <c r="K75" i="53"/>
  <c r="I245" i="63"/>
  <c r="K43" i="53"/>
  <c r="K106" i="53"/>
  <c r="K87" i="53"/>
  <c r="I361" i="63"/>
  <c r="I358" i="63"/>
  <c r="I81" i="63"/>
  <c r="I9" i="63"/>
  <c r="I42" i="63"/>
  <c r="I347" i="63"/>
  <c r="I222" i="63"/>
  <c r="I162" i="63"/>
  <c r="K38" i="53"/>
  <c r="I87" i="63"/>
  <c r="K60" i="53"/>
  <c r="I331" i="63"/>
  <c r="I330" i="63"/>
  <c r="I76" i="63"/>
  <c r="K44" i="53"/>
  <c r="I223" i="63"/>
  <c r="I23" i="63"/>
  <c r="I14" i="58"/>
  <c r="I41" i="63"/>
  <c r="I45" i="63"/>
  <c r="I362" i="63"/>
  <c r="I443" i="63"/>
  <c r="K55" i="53"/>
  <c r="I99" i="63"/>
  <c r="K84" i="53"/>
  <c r="I282" i="63"/>
  <c r="I394" i="63"/>
  <c r="K41" i="53"/>
  <c r="I251" i="63"/>
  <c r="I19" i="57"/>
  <c r="K15" i="53"/>
  <c r="I88" i="63"/>
  <c r="I63" i="63"/>
  <c r="K76" i="53"/>
  <c r="I80" i="63"/>
  <c r="K88" i="53"/>
  <c r="I58" i="63"/>
  <c r="I325" i="63"/>
  <c r="I93" i="63"/>
  <c r="I12" i="63"/>
  <c r="K35" i="53"/>
  <c r="K49" i="53"/>
  <c r="I146" i="63"/>
  <c r="K42" i="53"/>
  <c r="I65" i="63"/>
  <c r="I435" i="63"/>
  <c r="K30" i="53"/>
  <c r="I94" i="63"/>
  <c r="I108" i="57"/>
  <c r="K91" i="53"/>
  <c r="I74" i="63"/>
  <c r="I426" i="63"/>
  <c r="I21" i="63"/>
  <c r="I427" i="63"/>
  <c r="I107" i="63"/>
  <c r="I13" i="57"/>
  <c r="I47" i="63"/>
  <c r="I373" i="63"/>
  <c r="I14" i="63"/>
  <c r="I35" i="57"/>
  <c r="I19" i="63"/>
  <c r="K85" i="53"/>
  <c r="K9" i="53"/>
  <c r="I35" i="63"/>
  <c r="K46" i="53"/>
  <c r="I312" i="63"/>
  <c r="I44" i="63"/>
  <c r="I145" i="63"/>
  <c r="I226" i="63"/>
  <c r="I74" i="57"/>
  <c r="K70" i="53"/>
  <c r="K97" i="53"/>
  <c r="K62" i="53"/>
  <c r="K61" i="53"/>
  <c r="I213" i="63"/>
  <c r="K89" i="53"/>
  <c r="K19" i="53"/>
  <c r="I38" i="63"/>
  <c r="K54" i="53"/>
  <c r="I11" i="63"/>
  <c r="K105" i="53"/>
  <c r="K48" i="53"/>
  <c r="I97" i="57"/>
  <c r="K16" i="53"/>
  <c r="I258" i="63"/>
  <c r="K22" i="53"/>
  <c r="I97" i="63"/>
  <c r="K73" i="53"/>
  <c r="I60" i="63"/>
  <c r="I185" i="63"/>
  <c r="I193" i="63"/>
  <c r="I238" i="63"/>
  <c r="K74" i="53"/>
  <c r="I93" i="57"/>
  <c r="I20" i="57"/>
  <c r="I83" i="63"/>
  <c r="K14" i="53"/>
  <c r="I217" i="63"/>
  <c r="I380" i="63"/>
  <c r="I451" i="63"/>
  <c r="I174" i="63"/>
  <c r="I389" i="63"/>
  <c r="I163" i="63"/>
  <c r="I329" i="63"/>
  <c r="K69" i="53"/>
  <c r="I42" i="57"/>
  <c r="I235" i="63"/>
  <c r="K53" i="53"/>
  <c r="I33" i="63"/>
  <c r="I17" i="63"/>
  <c r="I215" i="63"/>
  <c r="K39" i="53"/>
  <c r="I62" i="63"/>
  <c r="K67" i="53"/>
  <c r="I188" i="63"/>
  <c r="I398" i="63"/>
  <c r="K52" i="53"/>
  <c r="I61" i="63"/>
  <c r="K79" i="53"/>
  <c r="I259" i="63"/>
  <c r="I96" i="63"/>
  <c r="I25" i="63"/>
  <c r="I15" i="63"/>
  <c r="I78" i="63"/>
  <c r="K78" i="53"/>
  <c r="K45" i="53"/>
  <c r="I22" i="63"/>
  <c r="K10" i="53"/>
  <c r="K77" i="53"/>
  <c r="I70" i="63"/>
  <c r="K47" i="53"/>
  <c r="I73" i="63"/>
  <c r="K13" i="53"/>
  <c r="K80" i="53"/>
  <c r="I456" i="63"/>
  <c r="K24" i="53"/>
  <c r="I72" i="63"/>
  <c r="I294" i="63"/>
  <c r="I90" i="63"/>
  <c r="K101" i="53"/>
  <c r="I68" i="63"/>
  <c r="K104" i="53"/>
  <c r="I262" i="63"/>
  <c r="I18" i="63"/>
  <c r="K96" i="53"/>
  <c r="I103" i="63"/>
  <c r="I32" i="63"/>
  <c r="I39" i="63"/>
  <c r="I338" i="63"/>
  <c r="I117" i="63"/>
  <c r="I151" i="63"/>
  <c r="I310" i="63"/>
  <c r="I75" i="63"/>
  <c r="K107" i="53"/>
  <c r="K71" i="53"/>
  <c r="I416" i="63"/>
  <c r="I147" i="63"/>
  <c r="I46" i="63"/>
  <c r="K57" i="53"/>
  <c r="K31" i="53"/>
  <c r="K17" i="53"/>
  <c r="I28" i="63"/>
  <c r="K86" i="53"/>
  <c r="I29" i="63"/>
  <c r="I27" i="63"/>
  <c r="I138" i="63"/>
  <c r="F36" i="55"/>
  <c r="E87" i="60" l="1"/>
  <c r="M17" i="55"/>
  <c r="L22" i="55"/>
  <c r="M24" i="55"/>
  <c r="E82" i="60"/>
  <c r="L13" i="55"/>
  <c r="L30" i="55"/>
  <c r="M16" i="55"/>
  <c r="M36" i="55"/>
  <c r="M38" i="55"/>
  <c r="M22" i="55"/>
  <c r="M9" i="55"/>
  <c r="M20" i="55"/>
  <c r="L19" i="55"/>
  <c r="E72" i="60"/>
  <c r="L25" i="55"/>
  <c r="L5" i="55"/>
  <c r="E36" i="60"/>
  <c r="L6" i="55"/>
  <c r="L29" i="55"/>
  <c r="M39" i="55"/>
  <c r="M26" i="55"/>
  <c r="L23" i="55"/>
  <c r="L14" i="55"/>
  <c r="B2" i="61"/>
  <c r="E2" i="61"/>
  <c r="L11" i="55"/>
  <c r="L39" i="55"/>
  <c r="M37" i="55"/>
  <c r="L2" i="55"/>
  <c r="M10" i="55"/>
  <c r="M4" i="55"/>
  <c r="M34" i="55"/>
  <c r="M19" i="55"/>
  <c r="L35" i="55"/>
  <c r="L21" i="55"/>
  <c r="M30" i="55"/>
  <c r="L27" i="55"/>
  <c r="M27" i="55"/>
  <c r="E4" i="60"/>
  <c r="E12" i="60"/>
  <c r="L34" i="55"/>
  <c r="E79" i="60"/>
  <c r="L12" i="55"/>
  <c r="M11" i="55"/>
  <c r="M15" i="55"/>
  <c r="M31" i="55"/>
  <c r="M21" i="55"/>
  <c r="E6" i="60"/>
  <c r="M3" i="55"/>
  <c r="M13" i="55"/>
  <c r="M6" i="55"/>
  <c r="L20" i="55"/>
  <c r="L38" i="55"/>
  <c r="L15" i="55"/>
  <c r="E66" i="60"/>
  <c r="L26" i="55"/>
  <c r="L16" i="55"/>
  <c r="E40" i="60"/>
  <c r="L17" i="55"/>
  <c r="M18" i="55"/>
  <c r="E67" i="60"/>
  <c r="E16" i="60"/>
  <c r="E9" i="61"/>
  <c r="B9" i="61"/>
  <c r="L3" i="55"/>
  <c r="E88" i="60"/>
  <c r="L24" i="55"/>
  <c r="E15" i="60"/>
  <c r="E68" i="60"/>
  <c r="E90" i="60"/>
  <c r="E50" i="60"/>
  <c r="M25" i="55"/>
  <c r="M28" i="55"/>
  <c r="B3" i="61"/>
  <c r="E3" i="61"/>
  <c r="E74" i="60"/>
  <c r="L31" i="55"/>
  <c r="E24" i="60"/>
  <c r="E86" i="60"/>
  <c r="M33" i="55"/>
  <c r="E65" i="60"/>
  <c r="E25" i="60"/>
  <c r="E42" i="60"/>
  <c r="L9" i="55"/>
  <c r="L33" i="55"/>
  <c r="M2" i="55"/>
  <c r="L37" i="55"/>
  <c r="L36" i="55"/>
  <c r="L32" i="55"/>
  <c r="L8" i="55"/>
  <c r="E76" i="60"/>
  <c r="E96" i="60"/>
  <c r="L28" i="55"/>
  <c r="E84" i="60"/>
  <c r="M12" i="55"/>
  <c r="M5" i="55"/>
  <c r="E17" i="60"/>
  <c r="M35" i="55"/>
  <c r="L18" i="55"/>
  <c r="E101" i="60"/>
  <c r="M8" i="55"/>
  <c r="M7" i="55"/>
  <c r="E31" i="60"/>
  <c r="E5" i="60"/>
  <c r="M14" i="55"/>
  <c r="E58" i="60"/>
  <c r="E83" i="60"/>
  <c r="E97" i="60"/>
  <c r="E54" i="60"/>
  <c r="E98" i="60"/>
  <c r="E35" i="60"/>
  <c r="E14" i="60"/>
  <c r="M23" i="55"/>
  <c r="M32" i="55"/>
  <c r="B5" i="61"/>
  <c r="E5" i="61"/>
  <c r="L4" i="55"/>
  <c r="L10" i="55"/>
  <c r="E20" i="60"/>
  <c r="E10" i="61"/>
  <c r="B10" i="61"/>
  <c r="L7" i="55"/>
  <c r="E57" i="60"/>
  <c r="M41" i="55"/>
  <c r="E91" i="60"/>
  <c r="E56" i="60"/>
  <c r="E71" i="60"/>
  <c r="E81" i="60"/>
  <c r="E49" i="60"/>
  <c r="E64" i="60"/>
  <c r="E28" i="60"/>
  <c r="M29" i="55"/>
  <c r="L41" i="55"/>
  <c r="E18" i="60"/>
  <c r="M40" i="55"/>
  <c r="L40" i="55"/>
  <c r="E32" i="60"/>
  <c r="E39" i="60"/>
  <c r="E63" i="60"/>
  <c r="B8" i="61"/>
  <c r="E8" i="61"/>
  <c r="E95" i="60"/>
  <c r="E26" i="60"/>
  <c r="E60" i="60"/>
  <c r="E77" i="60"/>
  <c r="E62" i="60"/>
  <c r="E70" i="60"/>
  <c r="E13" i="60"/>
  <c r="E80" i="60"/>
  <c r="E11" i="60"/>
  <c r="E52" i="60"/>
  <c r="E45" i="60"/>
  <c r="E9" i="60"/>
  <c r="E34" i="60"/>
  <c r="E41" i="60"/>
  <c r="E53" i="60"/>
  <c r="E92" i="60"/>
  <c r="E10" i="60"/>
  <c r="E7" i="61"/>
  <c r="B7" i="61"/>
  <c r="E48" i="60"/>
  <c r="E7" i="60"/>
  <c r="E3" i="60"/>
  <c r="E55" i="60"/>
  <c r="E33" i="60"/>
  <c r="E61" i="60"/>
  <c r="E51" i="60"/>
  <c r="E37" i="60"/>
  <c r="E78" i="60"/>
  <c r="E100" i="60"/>
  <c r="E46" i="60"/>
  <c r="E69" i="60"/>
  <c r="E2" i="60"/>
  <c r="E73" i="60"/>
  <c r="E27" i="60"/>
  <c r="E23" i="60"/>
  <c r="B4" i="61"/>
  <c r="E4" i="61"/>
  <c r="E30" i="60"/>
  <c r="E38" i="60"/>
  <c r="E89" i="60"/>
  <c r="E29" i="60"/>
  <c r="E6" i="61"/>
  <c r="B6" i="61"/>
  <c r="E21" i="60"/>
  <c r="E93" i="60"/>
  <c r="E44" i="60"/>
  <c r="E19" i="60"/>
  <c r="E8" i="60"/>
  <c r="E43" i="60"/>
  <c r="E22" i="60"/>
  <c r="E85" i="60"/>
  <c r="E99" i="60"/>
  <c r="E47" i="60"/>
  <c r="E94" i="60"/>
  <c r="E75" i="60"/>
  <c r="E59" i="60"/>
  <c r="C186" i="54"/>
  <c r="M197" i="54" s="1"/>
  <c r="C271" i="54"/>
  <c r="M282" i="54" s="1"/>
  <c r="C170" i="54"/>
  <c r="M181" i="54" s="1"/>
  <c r="I167" i="63"/>
  <c r="I12" i="58"/>
  <c r="C226" i="54"/>
  <c r="M237" i="54" s="1"/>
  <c r="C122" i="54"/>
  <c r="M133" i="54" s="1"/>
  <c r="I95" i="57"/>
  <c r="I177" i="63"/>
  <c r="I346" i="63"/>
  <c r="I287" i="63"/>
  <c r="I354" i="63"/>
  <c r="C215" i="54"/>
  <c r="M226" i="54" s="1"/>
  <c r="H71" i="60"/>
  <c r="C282" i="54"/>
  <c r="M293" i="54" s="1"/>
  <c r="C21" i="54"/>
  <c r="M32" i="54" s="1"/>
  <c r="G14" i="61"/>
  <c r="C234" i="54"/>
  <c r="M245" i="54" s="1"/>
  <c r="H79" i="60"/>
  <c r="I161" i="63"/>
  <c r="C262" i="54"/>
  <c r="M273" i="54" s="1"/>
  <c r="C193" i="54"/>
  <c r="M204" i="54" s="1"/>
  <c r="J36" i="55"/>
  <c r="H89" i="60"/>
  <c r="C29" i="54"/>
  <c r="M40" i="54" s="1"/>
  <c r="C111" i="54"/>
  <c r="M122" i="54" s="1"/>
  <c r="I46" i="57"/>
  <c r="C152" i="54"/>
  <c r="M163" i="54" s="1"/>
  <c r="C89" i="54"/>
  <c r="M100" i="54" s="1"/>
  <c r="C160" i="54"/>
  <c r="M171" i="54" s="1"/>
  <c r="C285" i="54"/>
  <c r="M296" i="54" s="1"/>
  <c r="H25" i="60"/>
  <c r="C135" i="54"/>
  <c r="M146" i="54" s="1"/>
  <c r="C11" i="54"/>
  <c r="M22" i="54" s="1"/>
  <c r="C292" i="54"/>
  <c r="M303" i="54" s="1"/>
  <c r="J41" i="55"/>
  <c r="C80" i="54"/>
  <c r="M91" i="54" s="1"/>
  <c r="G13" i="61"/>
  <c r="C265" i="54"/>
  <c r="M276" i="54" s="1"/>
  <c r="C257" i="54"/>
  <c r="M268" i="54" s="1"/>
  <c r="C206" i="54"/>
  <c r="M217" i="54" s="1"/>
  <c r="I86" i="63"/>
  <c r="C92" i="54"/>
  <c r="M103" i="54" s="1"/>
  <c r="C28" i="54"/>
  <c r="M39" i="54" s="1"/>
  <c r="H64" i="60"/>
  <c r="H67" i="60"/>
  <c r="C86" i="54"/>
  <c r="M97" i="54" s="1"/>
  <c r="C71" i="54"/>
  <c r="M82" i="54" s="1"/>
  <c r="H90" i="60"/>
  <c r="C67" i="54"/>
  <c r="M78" i="54" s="1"/>
  <c r="H57" i="60"/>
  <c r="H104" i="60"/>
  <c r="C40" i="54"/>
  <c r="M51" i="54" s="1"/>
  <c r="K63" i="53"/>
  <c r="I445" i="63"/>
  <c r="C109" i="54"/>
  <c r="M120" i="54" s="1"/>
  <c r="J19" i="55"/>
  <c r="I413" i="63"/>
  <c r="J29" i="55"/>
  <c r="C34" i="54"/>
  <c r="M45" i="54" s="1"/>
  <c r="C238" i="54"/>
  <c r="M249" i="54" s="1"/>
  <c r="C187" i="54"/>
  <c r="M198" i="54" s="1"/>
  <c r="C105" i="54"/>
  <c r="M116" i="54" s="1"/>
  <c r="C208" i="54"/>
  <c r="M219" i="54" s="1"/>
  <c r="I352" i="63"/>
  <c r="C32" i="54"/>
  <c r="M43" i="54" s="1"/>
  <c r="H95" i="60"/>
  <c r="J31" i="55"/>
  <c r="C233" i="54"/>
  <c r="M244" i="54" s="1"/>
  <c r="C213" i="54"/>
  <c r="M224" i="54" s="1"/>
  <c r="I351" i="63"/>
  <c r="C189" i="54"/>
  <c r="M200" i="54" s="1"/>
  <c r="C192" i="54"/>
  <c r="M203" i="54" s="1"/>
  <c r="C83" i="54"/>
  <c r="M94" i="54" s="1"/>
  <c r="K103" i="53"/>
  <c r="C49" i="54"/>
  <c r="M60" i="54" s="1"/>
  <c r="C247" i="54"/>
  <c r="M258" i="54" s="1"/>
  <c r="C45" i="54"/>
  <c r="M56" i="54" s="1"/>
  <c r="H40" i="60"/>
  <c r="C33" i="54"/>
  <c r="M44" i="54" s="1"/>
  <c r="C158" i="54"/>
  <c r="M169" i="54" s="1"/>
  <c r="G15" i="61"/>
  <c r="C9" i="54"/>
  <c r="M20" i="54" s="1"/>
  <c r="C125" i="54"/>
  <c r="M136" i="54" s="1"/>
  <c r="C175" i="54"/>
  <c r="M186" i="54" s="1"/>
  <c r="C84" i="54"/>
  <c r="M95" i="54" s="1"/>
  <c r="C82" i="54"/>
  <c r="M93" i="54" s="1"/>
  <c r="C54" i="54"/>
  <c r="M65" i="54" s="1"/>
  <c r="H92" i="60"/>
  <c r="I17" i="58"/>
  <c r="C14" i="54"/>
  <c r="M25" i="54" s="1"/>
  <c r="C103" i="54"/>
  <c r="M114" i="54" s="1"/>
  <c r="C297" i="54"/>
  <c r="M308" i="54" s="1"/>
  <c r="G7" i="61"/>
  <c r="K99" i="53"/>
  <c r="I21" i="58"/>
  <c r="J12" i="55"/>
  <c r="I183" i="63"/>
  <c r="J20" i="55"/>
  <c r="J26" i="55"/>
  <c r="C301" i="54"/>
  <c r="M312" i="54" s="1"/>
  <c r="C204" i="54"/>
  <c r="M215" i="54" s="1"/>
  <c r="I119" i="63"/>
  <c r="C4" i="54"/>
  <c r="M15" i="54" s="1"/>
  <c r="H55" i="60"/>
  <c r="C2" i="54"/>
  <c r="M13" i="54" s="1"/>
  <c r="C171" i="54"/>
  <c r="M182" i="54" s="1"/>
  <c r="J33" i="55"/>
  <c r="C236" i="54"/>
  <c r="M247" i="54" s="1"/>
  <c r="C174" i="54"/>
  <c r="M185" i="54" s="1"/>
  <c r="I353" i="63"/>
  <c r="K32" i="53"/>
  <c r="C85" i="54"/>
  <c r="M96" i="54" s="1"/>
  <c r="C224" i="54"/>
  <c r="M235" i="54" s="1"/>
  <c r="C299" i="54"/>
  <c r="M310" i="54" s="1"/>
  <c r="C156" i="54"/>
  <c r="M167" i="54" s="1"/>
  <c r="C79" i="54"/>
  <c r="M90" i="54" s="1"/>
  <c r="I13" i="63"/>
  <c r="C194" i="54"/>
  <c r="M205" i="54" s="1"/>
  <c r="C225" i="54"/>
  <c r="M236" i="54" s="1"/>
  <c r="J40" i="55"/>
  <c r="C124" i="54"/>
  <c r="M135" i="54" s="1"/>
  <c r="C127" i="54"/>
  <c r="M138" i="54" s="1"/>
  <c r="C151" i="54"/>
  <c r="M162" i="54" s="1"/>
  <c r="H16" i="60"/>
  <c r="C177" i="54"/>
  <c r="M188" i="54" s="1"/>
  <c r="C78" i="54"/>
  <c r="M89" i="54" s="1"/>
  <c r="C63" i="54"/>
  <c r="M74" i="54" s="1"/>
  <c r="C61" i="54"/>
  <c r="M72" i="54" s="1"/>
  <c r="H43" i="60"/>
  <c r="I407" i="63"/>
  <c r="C241" i="54"/>
  <c r="M252" i="54" s="1"/>
  <c r="C253" i="54"/>
  <c r="M264" i="54" s="1"/>
  <c r="K92" i="53"/>
  <c r="C293" i="54"/>
  <c r="M304" i="54" s="1"/>
  <c r="I343" i="63"/>
  <c r="H77" i="60"/>
  <c r="C188" i="54"/>
  <c r="M199" i="54" s="1"/>
  <c r="C267" i="54"/>
  <c r="M278" i="54" s="1"/>
  <c r="I40" i="63"/>
  <c r="C286" i="54"/>
  <c r="M297" i="54" s="1"/>
  <c r="C119" i="54"/>
  <c r="M130" i="54" s="1"/>
  <c r="C154" i="54"/>
  <c r="M165" i="54" s="1"/>
  <c r="H9" i="60"/>
  <c r="K90" i="53"/>
  <c r="K36" i="53"/>
  <c r="C117" i="54"/>
  <c r="M128" i="54" s="1"/>
  <c r="C266" i="54"/>
  <c r="M277" i="54" s="1"/>
  <c r="H72" i="60"/>
  <c r="C104" i="54"/>
  <c r="M115" i="54" s="1"/>
  <c r="C217" i="54"/>
  <c r="M228" i="54" s="1"/>
  <c r="C7" i="54"/>
  <c r="M18" i="54" s="1"/>
  <c r="I127" i="63"/>
  <c r="I321" i="63"/>
  <c r="I429" i="63"/>
  <c r="J32" i="55"/>
  <c r="H106" i="60"/>
  <c r="K56" i="53"/>
  <c r="I106" i="57"/>
  <c r="H63" i="60"/>
  <c r="C228" i="54"/>
  <c r="M239" i="54" s="1"/>
  <c r="C147" i="54"/>
  <c r="M158" i="54" s="1"/>
  <c r="C216" i="54"/>
  <c r="M227" i="54" s="1"/>
  <c r="C47" i="54"/>
  <c r="M58" i="54" s="1"/>
  <c r="C251" i="54"/>
  <c r="M262" i="54" s="1"/>
  <c r="I187" i="63"/>
  <c r="C220" i="54"/>
  <c r="M231" i="54" s="1"/>
  <c r="H46" i="60"/>
  <c r="J22" i="55"/>
  <c r="C198" i="54"/>
  <c r="M209" i="54" s="1"/>
  <c r="I55" i="63"/>
  <c r="C185" i="54"/>
  <c r="M196" i="54" s="1"/>
  <c r="J25" i="55"/>
  <c r="K50" i="53"/>
  <c r="C22" i="54"/>
  <c r="M33" i="54" s="1"/>
  <c r="C178" i="54"/>
  <c r="M189" i="54" s="1"/>
  <c r="C248" i="54"/>
  <c r="M259" i="54" s="1"/>
  <c r="J35" i="55"/>
  <c r="I356" i="63"/>
  <c r="I433" i="63"/>
  <c r="C244" i="54"/>
  <c r="M255" i="54" s="1"/>
  <c r="I103" i="57"/>
  <c r="C77" i="54"/>
  <c r="M88" i="54" s="1"/>
  <c r="H45" i="60"/>
  <c r="C112" i="54"/>
  <c r="M123" i="54" s="1"/>
  <c r="C44" i="54"/>
  <c r="M55" i="54" s="1"/>
  <c r="C35" i="54"/>
  <c r="M46" i="54" s="1"/>
  <c r="C70" i="54"/>
  <c r="M81" i="54" s="1"/>
  <c r="C289" i="54"/>
  <c r="M300" i="54" s="1"/>
  <c r="H47" i="60"/>
  <c r="C298" i="54"/>
  <c r="M309" i="54" s="1"/>
  <c r="I339" i="63"/>
  <c r="C93" i="54"/>
  <c r="M104" i="54" s="1"/>
  <c r="K27" i="53"/>
  <c r="C114" i="54"/>
  <c r="M125" i="54" s="1"/>
  <c r="I8" i="63"/>
  <c r="C25" i="54"/>
  <c r="M36" i="54" s="1"/>
  <c r="C200" i="54"/>
  <c r="M211" i="54" s="1"/>
  <c r="C250" i="54"/>
  <c r="M261" i="54" s="1"/>
  <c r="C75" i="54"/>
  <c r="M86" i="54" s="1"/>
  <c r="C153" i="54"/>
  <c r="M164" i="54" s="1"/>
  <c r="I172" i="63"/>
  <c r="C183" i="54"/>
  <c r="M194" i="54" s="1"/>
  <c r="C245" i="54"/>
  <c r="M256" i="54" s="1"/>
  <c r="C274" i="54"/>
  <c r="M285" i="54" s="1"/>
  <c r="C56" i="54"/>
  <c r="M67" i="54" s="1"/>
  <c r="C58" i="54"/>
  <c r="M69" i="54" s="1"/>
  <c r="C249" i="54"/>
  <c r="M260" i="54" s="1"/>
  <c r="C10" i="54"/>
  <c r="M21" i="54" s="1"/>
  <c r="C252" i="54"/>
  <c r="M263" i="54" s="1"/>
  <c r="H50" i="60"/>
  <c r="C74" i="54"/>
  <c r="M85" i="54" s="1"/>
  <c r="H15" i="60"/>
  <c r="C126" i="54"/>
  <c r="M137" i="54" s="1"/>
  <c r="H51" i="60"/>
  <c r="H94" i="60"/>
  <c r="H98" i="60"/>
  <c r="C20" i="54"/>
  <c r="M31" i="54" s="1"/>
  <c r="H96" i="60"/>
  <c r="C81" i="54"/>
  <c r="M92" i="54" s="1"/>
  <c r="C19" i="54"/>
  <c r="M30" i="54" s="1"/>
  <c r="C102" i="54"/>
  <c r="M113" i="54" s="1"/>
  <c r="H56" i="60"/>
  <c r="C115" i="54"/>
  <c r="M126" i="54" s="1"/>
  <c r="H48" i="60"/>
  <c r="C3" i="54"/>
  <c r="M14" i="54" s="1"/>
  <c r="C155" i="54"/>
  <c r="M166" i="54" s="1"/>
  <c r="I112" i="63"/>
  <c r="I87" i="57"/>
  <c r="C101" i="54"/>
  <c r="M112" i="54" s="1"/>
  <c r="J23" i="55"/>
  <c r="J11" i="55"/>
  <c r="C259" i="54"/>
  <c r="M270" i="54" s="1"/>
  <c r="J21" i="55"/>
  <c r="C196" i="54"/>
  <c r="M207" i="54" s="1"/>
  <c r="C144" i="54"/>
  <c r="M155" i="54" s="1"/>
  <c r="C180" i="54"/>
  <c r="M191" i="54" s="1"/>
  <c r="I85" i="63"/>
  <c r="J16" i="55"/>
  <c r="I96" i="57"/>
  <c r="C110" i="54"/>
  <c r="M121" i="54" s="1"/>
  <c r="C221" i="54"/>
  <c r="M232" i="54" s="1"/>
  <c r="C211" i="54"/>
  <c r="M222" i="54" s="1"/>
  <c r="C258" i="54"/>
  <c r="M269" i="54" s="1"/>
  <c r="H29" i="60"/>
  <c r="C219" i="54"/>
  <c r="M230" i="54" s="1"/>
  <c r="K65" i="53"/>
  <c r="I441" i="63"/>
  <c r="I18" i="57"/>
  <c r="I204" i="63"/>
  <c r="I53" i="63"/>
  <c r="H36" i="60"/>
  <c r="C246" i="54"/>
  <c r="M257" i="54" s="1"/>
  <c r="C169" i="54"/>
  <c r="M180" i="54" s="1"/>
  <c r="H19" i="60"/>
  <c r="C16" i="54"/>
  <c r="M27" i="54" s="1"/>
  <c r="C300" i="54"/>
  <c r="M311" i="54" s="1"/>
  <c r="C90" i="54"/>
  <c r="M101" i="54" s="1"/>
  <c r="C8" i="54"/>
  <c r="M19" i="54" s="1"/>
  <c r="C131" i="54"/>
  <c r="M142" i="54" s="1"/>
  <c r="H86" i="60"/>
  <c r="H23" i="60"/>
  <c r="C239" i="54"/>
  <c r="M250" i="54" s="1"/>
  <c r="C65" i="54"/>
  <c r="M76" i="54" s="1"/>
  <c r="C191" i="54"/>
  <c r="M202" i="54" s="1"/>
  <c r="C164" i="54"/>
  <c r="M175" i="54" s="1"/>
  <c r="C277" i="54"/>
  <c r="M288" i="54" s="1"/>
  <c r="C139" i="54"/>
  <c r="M150" i="54" s="1"/>
  <c r="G12" i="61"/>
  <c r="C66" i="54"/>
  <c r="M77" i="54" s="1"/>
  <c r="H74" i="60"/>
  <c r="H34" i="60"/>
  <c r="H49" i="60"/>
  <c r="H52" i="60"/>
  <c r="C133" i="54"/>
  <c r="M144" i="54" s="1"/>
  <c r="C41" i="54"/>
  <c r="M52" i="54" s="1"/>
  <c r="H41" i="60"/>
  <c r="C172" i="54"/>
  <c r="M183" i="54" s="1"/>
  <c r="C123" i="54"/>
  <c r="M134" i="54" s="1"/>
  <c r="C68" i="54"/>
  <c r="M79" i="54" s="1"/>
  <c r="J27" i="55"/>
  <c r="I234" i="63"/>
  <c r="C13" i="54"/>
  <c r="M24" i="54" s="1"/>
  <c r="C157" i="54"/>
  <c r="M168" i="54" s="1"/>
  <c r="C5" i="54"/>
  <c r="M16" i="54" s="1"/>
  <c r="H70" i="60"/>
  <c r="C283" i="54"/>
  <c r="M294" i="54" s="1"/>
  <c r="J8" i="55"/>
  <c r="C232" i="54"/>
  <c r="M243" i="54" s="1"/>
  <c r="H10" i="60"/>
  <c r="C107" i="54"/>
  <c r="M118" i="54" s="1"/>
  <c r="C199" i="54"/>
  <c r="M210" i="54" s="1"/>
  <c r="C128" i="54"/>
  <c r="M139" i="54" s="1"/>
  <c r="C88" i="54"/>
  <c r="M99" i="54" s="1"/>
  <c r="C98" i="54"/>
  <c r="M109" i="54" s="1"/>
  <c r="C142" i="54"/>
  <c r="M153" i="54" s="1"/>
  <c r="C203" i="54"/>
  <c r="M214" i="54" s="1"/>
  <c r="H58" i="60"/>
  <c r="C159" i="54"/>
  <c r="M170" i="54" s="1"/>
  <c r="C150" i="54"/>
  <c r="M161" i="54" s="1"/>
  <c r="C295" i="54"/>
  <c r="M306" i="54" s="1"/>
  <c r="C99" i="54"/>
  <c r="M110" i="54" s="1"/>
  <c r="J7" i="55"/>
  <c r="H69" i="60"/>
  <c r="C255" i="54"/>
  <c r="M266" i="54" s="1"/>
  <c r="H14" i="60"/>
  <c r="H38" i="60"/>
  <c r="C141" i="54"/>
  <c r="M152" i="54" s="1"/>
  <c r="C39" i="54"/>
  <c r="M50" i="54" s="1"/>
  <c r="C179" i="54"/>
  <c r="M190" i="54" s="1"/>
  <c r="H78" i="60"/>
  <c r="C146" i="54"/>
  <c r="M157" i="54" s="1"/>
  <c r="H65" i="60"/>
  <c r="H8" i="60"/>
  <c r="C42" i="54"/>
  <c r="M53" i="54" s="1"/>
  <c r="H61" i="60"/>
  <c r="C129" i="54"/>
  <c r="M140" i="54" s="1"/>
  <c r="C214" i="54"/>
  <c r="M225" i="54" s="1"/>
  <c r="H105" i="60"/>
  <c r="I45" i="57"/>
  <c r="H87" i="60"/>
  <c r="H20" i="60"/>
  <c r="J9" i="55"/>
  <c r="I134" i="63"/>
  <c r="I261" i="63"/>
  <c r="C182" i="54"/>
  <c r="M193" i="54" s="1"/>
  <c r="H54" i="60"/>
  <c r="H37" i="60"/>
  <c r="H75" i="60"/>
  <c r="C148" i="54"/>
  <c r="M159" i="54" s="1"/>
  <c r="C46" i="54"/>
  <c r="M57" i="54" s="1"/>
  <c r="C173" i="54"/>
  <c r="M184" i="54" s="1"/>
  <c r="C140" i="54"/>
  <c r="M151" i="54" s="1"/>
  <c r="C210" i="54"/>
  <c r="M221" i="54" s="1"/>
  <c r="C165" i="54"/>
  <c r="M176" i="54" s="1"/>
  <c r="C134" i="54"/>
  <c r="M145" i="54" s="1"/>
  <c r="H53" i="60"/>
  <c r="H7" i="60"/>
  <c r="C260" i="54"/>
  <c r="M271" i="54" s="1"/>
  <c r="C264" i="54"/>
  <c r="M275" i="54" s="1"/>
  <c r="H12" i="60"/>
  <c r="H99" i="60"/>
  <c r="C270" i="54"/>
  <c r="M281" i="54" s="1"/>
  <c r="H39" i="60"/>
  <c r="C263" i="54"/>
  <c r="M274" i="54" s="1"/>
  <c r="C288" i="54"/>
  <c r="M299" i="54" s="1"/>
  <c r="H97" i="60"/>
  <c r="H80" i="60"/>
  <c r="I257" i="63"/>
  <c r="C197" i="54"/>
  <c r="M208" i="54" s="1"/>
  <c r="C281" i="54"/>
  <c r="M292" i="54" s="1"/>
  <c r="I227" i="63"/>
  <c r="I233" i="63"/>
  <c r="C212" i="54"/>
  <c r="M223" i="54" s="1"/>
  <c r="C256" i="54"/>
  <c r="M267" i="54" s="1"/>
  <c r="J2" i="55"/>
  <c r="I315" i="63"/>
  <c r="H17" i="60"/>
  <c r="C18" i="54"/>
  <c r="M29" i="54" s="1"/>
  <c r="I400" i="63"/>
  <c r="J38" i="55"/>
  <c r="C287" i="54"/>
  <c r="M298" i="54" s="1"/>
  <c r="J17" i="55"/>
  <c r="I131" i="63"/>
  <c r="J3" i="55"/>
  <c r="I150" i="63"/>
  <c r="I148" i="63"/>
  <c r="C137" i="54"/>
  <c r="M148" i="54" s="1"/>
  <c r="H30" i="60"/>
  <c r="C229" i="54"/>
  <c r="M240" i="54" s="1"/>
  <c r="H81" i="60"/>
  <c r="C280" i="54"/>
  <c r="M291" i="54" s="1"/>
  <c r="C53" i="54"/>
  <c r="M64" i="54" s="1"/>
  <c r="I92" i="63"/>
  <c r="C138" i="54"/>
  <c r="M149" i="54" s="1"/>
  <c r="H102" i="60"/>
  <c r="C12" i="54"/>
  <c r="M23" i="54" s="1"/>
  <c r="J4" i="55"/>
  <c r="C272" i="54"/>
  <c r="M283" i="54" s="1"/>
  <c r="H44" i="60"/>
  <c r="H18" i="60"/>
  <c r="C73" i="54"/>
  <c r="M84" i="54" s="1"/>
  <c r="H24" i="60"/>
  <c r="C163" i="54"/>
  <c r="M174" i="54" s="1"/>
  <c r="C30" i="54"/>
  <c r="M41" i="54" s="1"/>
  <c r="H66" i="60"/>
  <c r="H13" i="60"/>
  <c r="C59" i="54"/>
  <c r="M70" i="54" s="1"/>
  <c r="C227" i="54"/>
  <c r="M238" i="54" s="1"/>
  <c r="C96" i="54"/>
  <c r="M107" i="54" s="1"/>
  <c r="C218" i="54"/>
  <c r="M229" i="54" s="1"/>
  <c r="C296" i="54"/>
  <c r="M307" i="54" s="1"/>
  <c r="H28" i="60"/>
  <c r="K18" i="53"/>
  <c r="I219" i="63"/>
  <c r="C166" i="54"/>
  <c r="M177" i="54" s="1"/>
  <c r="I176" i="63"/>
  <c r="I56" i="63"/>
  <c r="I91" i="57"/>
  <c r="I27" i="57"/>
  <c r="I24" i="63"/>
  <c r="I26" i="57"/>
  <c r="I369" i="63"/>
  <c r="C284" i="54"/>
  <c r="M295" i="54" s="1"/>
  <c r="C43" i="54"/>
  <c r="M54" i="54" s="1"/>
  <c r="C64" i="54"/>
  <c r="M75" i="54" s="1"/>
  <c r="C37" i="54"/>
  <c r="M48" i="54" s="1"/>
  <c r="H93" i="60"/>
  <c r="C167" i="54"/>
  <c r="M178" i="54" s="1"/>
  <c r="C279" i="54"/>
  <c r="M290" i="54" s="1"/>
  <c r="C97" i="54"/>
  <c r="M108" i="54" s="1"/>
  <c r="C60" i="54"/>
  <c r="M71" i="54" s="1"/>
  <c r="C278" i="54"/>
  <c r="M289" i="54" s="1"/>
  <c r="I224" i="63"/>
  <c r="H22" i="60"/>
  <c r="I249" i="63"/>
  <c r="I336" i="63"/>
  <c r="I48" i="63"/>
  <c r="C72" i="54"/>
  <c r="M83" i="54" s="1"/>
  <c r="C87" i="54"/>
  <c r="M98" i="54" s="1"/>
  <c r="C52" i="54"/>
  <c r="M63" i="54" s="1"/>
  <c r="I237" i="63"/>
  <c r="C276" i="54"/>
  <c r="M287" i="54" s="1"/>
  <c r="C116" i="54"/>
  <c r="M127" i="54" s="1"/>
  <c r="C275" i="54"/>
  <c r="M286" i="54" s="1"/>
  <c r="C24" i="54"/>
  <c r="M35" i="54" s="1"/>
  <c r="H68" i="60"/>
  <c r="C290" i="54"/>
  <c r="M301" i="54" s="1"/>
  <c r="H62" i="60"/>
  <c r="C62" i="54"/>
  <c r="M73" i="54" s="1"/>
  <c r="H42" i="60"/>
  <c r="C149" i="54"/>
  <c r="M160" i="54" s="1"/>
  <c r="K34" i="53"/>
  <c r="J13" i="55"/>
  <c r="I256" i="63"/>
  <c r="J5" i="55"/>
  <c r="C48" i="54"/>
  <c r="M59" i="54" s="1"/>
  <c r="C57" i="54"/>
  <c r="M68" i="54" s="1"/>
  <c r="J14" i="55"/>
  <c r="I324" i="63"/>
  <c r="I84" i="63"/>
  <c r="I85" i="57"/>
  <c r="I198" i="63"/>
  <c r="J34" i="55"/>
  <c r="C195" i="54"/>
  <c r="M206" i="54" s="1"/>
  <c r="J15" i="55"/>
  <c r="C106" i="54"/>
  <c r="M117" i="54" s="1"/>
  <c r="I311" i="63"/>
  <c r="C268" i="54"/>
  <c r="M279" i="54" s="1"/>
  <c r="I57" i="63"/>
  <c r="C100" i="54"/>
  <c r="M111" i="54" s="1"/>
  <c r="C231" i="54"/>
  <c r="M242" i="54" s="1"/>
  <c r="C240" i="54"/>
  <c r="M251" i="54" s="1"/>
  <c r="C132" i="54"/>
  <c r="M143" i="54" s="1"/>
  <c r="H101" i="60"/>
  <c r="C136" i="54"/>
  <c r="M147" i="54" s="1"/>
  <c r="C23" i="54"/>
  <c r="M34" i="54" s="1"/>
  <c r="C113" i="54"/>
  <c r="M124" i="54" s="1"/>
  <c r="C291" i="54"/>
  <c r="M302" i="54" s="1"/>
  <c r="H88" i="60"/>
  <c r="C222" i="54"/>
  <c r="M233" i="54" s="1"/>
  <c r="H33" i="60"/>
  <c r="H85" i="60"/>
  <c r="H32" i="60"/>
  <c r="J10" i="55"/>
  <c r="C242" i="54"/>
  <c r="M253" i="54" s="1"/>
  <c r="J30" i="55"/>
  <c r="I118" i="63"/>
  <c r="C190" i="54"/>
  <c r="M201" i="54" s="1"/>
  <c r="J6" i="55"/>
  <c r="K40" i="53"/>
  <c r="C207" i="54"/>
  <c r="M218" i="54" s="1"/>
  <c r="K83" i="53"/>
  <c r="C91" i="54"/>
  <c r="M102" i="54" s="1"/>
  <c r="I260" i="63"/>
  <c r="C108" i="54"/>
  <c r="M119" i="54" s="1"/>
  <c r="C130" i="54"/>
  <c r="M141" i="54" s="1"/>
  <c r="H21" i="60"/>
  <c r="C120" i="54"/>
  <c r="M131" i="54" s="1"/>
  <c r="I139" i="63"/>
  <c r="H91" i="60"/>
  <c r="C261" i="54"/>
  <c r="M272" i="54" s="1"/>
  <c r="C181" i="54"/>
  <c r="M192" i="54" s="1"/>
  <c r="J37" i="55"/>
  <c r="J28" i="55"/>
  <c r="C237" i="54"/>
  <c r="M248" i="54" s="1"/>
  <c r="C15" i="54"/>
  <c r="M26" i="54" s="1"/>
  <c r="C184" i="54"/>
  <c r="M195" i="54" s="1"/>
  <c r="H59" i="60"/>
  <c r="C254" i="54"/>
  <c r="M265" i="54" s="1"/>
  <c r="C6" i="54"/>
  <c r="M17" i="54" s="1"/>
  <c r="C176" i="54"/>
  <c r="M187" i="54" s="1"/>
  <c r="C76" i="54"/>
  <c r="M87" i="54" s="1"/>
  <c r="C36" i="54"/>
  <c r="M47" i="54" s="1"/>
  <c r="C95" i="54"/>
  <c r="M106" i="54" s="1"/>
  <c r="C230" i="54"/>
  <c r="M241" i="54" s="1"/>
  <c r="C235" i="54"/>
  <c r="M246" i="54" s="1"/>
  <c r="I79" i="63"/>
  <c r="J39" i="55"/>
  <c r="I10" i="63"/>
  <c r="I239" i="63"/>
  <c r="H84" i="60"/>
  <c r="H11" i="60"/>
  <c r="I194" i="63"/>
  <c r="I326" i="63"/>
  <c r="C17" i="54"/>
  <c r="M28" i="54" s="1"/>
  <c r="C31" i="54"/>
  <c r="M42" i="54" s="1"/>
  <c r="J24" i="55"/>
  <c r="H73" i="60"/>
  <c r="G8" i="61"/>
  <c r="C38" i="54"/>
  <c r="M49" i="54" s="1"/>
  <c r="C55" i="54"/>
  <c r="M66" i="54" s="1"/>
  <c r="C201" i="54"/>
  <c r="M212" i="54" s="1"/>
  <c r="J18" i="55"/>
  <c r="C143" i="54"/>
  <c r="M154" i="54" s="1"/>
  <c r="C294" i="54"/>
  <c r="M305" i="54" s="1"/>
  <c r="C50" i="54"/>
  <c r="M61" i="54" s="1"/>
  <c r="H103" i="60"/>
  <c r="C94" i="54"/>
  <c r="M105" i="54" s="1"/>
  <c r="G10" i="61"/>
  <c r="C243" i="54"/>
  <c r="M254" i="54" s="1"/>
  <c r="C273" i="54"/>
  <c r="M284" i="54" s="1"/>
  <c r="C26" i="54"/>
  <c r="M37" i="54" s="1"/>
  <c r="H76" i="60"/>
  <c r="C145" i="54"/>
  <c r="M156" i="54" s="1"/>
  <c r="H82" i="60"/>
  <c r="C202" i="54"/>
  <c r="M213" i="54" s="1"/>
  <c r="C205" i="54"/>
  <c r="M216" i="54" s="1"/>
  <c r="C118" i="54"/>
  <c r="M129" i="54" s="1"/>
  <c r="C69" i="54"/>
  <c r="M80" i="54" s="1"/>
  <c r="H60" i="60"/>
  <c r="H83" i="60"/>
  <c r="G11" i="61"/>
  <c r="C168" i="54"/>
  <c r="M179" i="54" s="1"/>
  <c r="C161" i="54"/>
  <c r="M172" i="54" s="1"/>
  <c r="C223" i="54"/>
  <c r="M234" i="54" s="1"/>
  <c r="G9" i="61"/>
  <c r="H27" i="60"/>
  <c r="C162" i="54"/>
  <c r="M173" i="54" s="1"/>
  <c r="H100" i="60"/>
  <c r="C209" i="54"/>
  <c r="M220" i="54" s="1"/>
  <c r="C27" i="54"/>
  <c r="M38" i="54" s="1"/>
  <c r="H35" i="60"/>
  <c r="H26" i="60"/>
  <c r="C269" i="54"/>
  <c r="M280" i="54" s="1"/>
  <c r="H31" i="60"/>
  <c r="C51" i="54"/>
  <c r="M62" i="54" s="1"/>
  <c r="C121" i="54"/>
  <c r="M132" i="54" s="1"/>
  <c r="K18" i="55" l="1"/>
  <c r="K24" i="55"/>
  <c r="K39" i="55"/>
  <c r="K28" i="55"/>
  <c r="K37" i="55"/>
  <c r="K6" i="55"/>
  <c r="K30" i="55"/>
  <c r="K10" i="55"/>
  <c r="K15" i="55"/>
  <c r="K34" i="55"/>
  <c r="K14" i="55"/>
  <c r="K5" i="55"/>
  <c r="K13" i="55"/>
  <c r="K4" i="55"/>
  <c r="K3" i="55"/>
  <c r="K17" i="55"/>
  <c r="K38" i="55"/>
  <c r="K2" i="55"/>
  <c r="K9" i="55"/>
  <c r="K7" i="55"/>
  <c r="K8" i="55"/>
  <c r="K27" i="55"/>
  <c r="K16" i="55"/>
  <c r="K21" i="55"/>
  <c r="K11" i="55"/>
  <c r="K23" i="55"/>
  <c r="K35" i="55"/>
  <c r="K25" i="55"/>
  <c r="K22" i="55"/>
  <c r="K32" i="55"/>
  <c r="K40" i="55"/>
  <c r="K33" i="55"/>
  <c r="K26" i="55"/>
  <c r="K20" i="55"/>
  <c r="K12" i="55"/>
  <c r="K31" i="55"/>
  <c r="K29" i="55"/>
  <c r="K19" i="55"/>
  <c r="K41" i="55"/>
  <c r="K36" i="55"/>
  <c r="V42" i="55"/>
  <c r="V37" i="55"/>
  <c r="V35" i="55"/>
  <c r="V53" i="55"/>
  <c r="V48" i="55"/>
  <c r="V28" i="55"/>
  <c r="V47" i="55"/>
  <c r="V43" i="55"/>
  <c r="V60" i="55"/>
  <c r="V62" i="55"/>
  <c r="V34" i="55"/>
  <c r="V51" i="55"/>
  <c r="V38" i="55"/>
  <c r="V55" i="55"/>
  <c r="V63" i="55"/>
  <c r="V27" i="55"/>
  <c r="V59" i="55"/>
  <c r="V65" i="55"/>
  <c r="V41" i="55"/>
  <c r="V61" i="55"/>
  <c r="V46" i="55"/>
  <c r="V31" i="55"/>
  <c r="V50" i="55"/>
  <c r="V44" i="55"/>
  <c r="V45" i="55"/>
  <c r="V52" i="55"/>
  <c r="V49" i="55"/>
  <c r="V64" i="55"/>
  <c r="V57" i="55"/>
  <c r="V58" i="55"/>
  <c r="V29" i="55"/>
  <c r="V30" i="55"/>
  <c r="V26" i="55"/>
  <c r="V56" i="55"/>
  <c r="V32" i="55"/>
  <c r="V36" i="55"/>
  <c r="V54" i="55"/>
  <c r="V33" i="55"/>
  <c r="V39" i="55"/>
  <c r="V40" i="55"/>
</calcChain>
</file>

<file path=xl/sharedStrings.xml><?xml version="1.0" encoding="utf-8"?>
<sst xmlns="http://schemas.openxmlformats.org/spreadsheetml/2006/main" count="6210" uniqueCount="5404">
  <si>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</si>
  <si>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</si>
  <si>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</si>
  <si>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</si>
  <si>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</si>
  <si>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</si>
  <si>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</si>
  <si>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</si>
  <si>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</si>
  <si>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</si>
  <si>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</si>
  <si>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</si>
  <si>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</si>
  <si>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</si>
  <si>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</si>
  <si>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</si>
  <si>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</si>
  <si>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</si>
  <si>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</si>
  <si>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</si>
  <si>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</si>
  <si>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</si>
  <si>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</si>
  <si>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</si>
  <si>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</si>
  <si>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</si>
  <si>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</si>
  <si>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</si>
  <si>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</si>
  <si>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</si>
  <si>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</si>
  <si>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</si>
  <si>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</si>
  <si>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</si>
  <si>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</si>
  <si>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</si>
  <si>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</si>
  <si>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</si>
  <si>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</si>
  <si>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</si>
  <si>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</si>
  <si>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</si>
  <si>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</si>
  <si>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</si>
  <si>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</si>
  <si>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</si>
  <si>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</si>
  <si>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</si>
  <si>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</si>
  <si>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</si>
  <si>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</si>
  <si>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</si>
  <si>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</si>
  <si>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</si>
  <si>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</si>
  <si>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</si>
  <si>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</si>
  <si>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</si>
  <si>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</si>
  <si>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</si>
  <si>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</si>
  <si>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</si>
  <si>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</si>
  <si>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</si>
  <si>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</si>
  <si>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</si>
  <si>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</si>
  <si>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</si>
  <si>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</si>
  <si>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</si>
  <si>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</si>
  <si>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</si>
  <si>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</si>
  <si>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</si>
  <si>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</si>
  <si>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</si>
  <si>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</si>
  <si>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</si>
  <si>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</si>
  <si>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</si>
  <si>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</si>
  <si>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</si>
  <si>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</si>
  <si>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</si>
  <si>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</si>
  <si>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</si>
  <si>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</si>
  <si>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</si>
  <si>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</si>
  <si>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</si>
  <si>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</si>
  <si>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</si>
  <si>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</si>
  <si>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</si>
  <si>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</si>
  <si>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</si>
  <si>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</si>
  <si>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</si>
  <si>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</si>
  <si>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</si>
  <si>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</si>
  <si>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</si>
  <si>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</si>
  <si>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</si>
  <si>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</si>
  <si>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</si>
  <si>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</si>
  <si>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</si>
  <si>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</si>
  <si>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</si>
  <si>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</si>
  <si>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</si>
  <si>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</si>
  <si>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</si>
  <si>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</si>
  <si>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</si>
  <si>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</si>
  <si>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</si>
  <si>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</si>
  <si>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</si>
  <si>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</si>
  <si>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</si>
  <si>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</si>
  <si>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</si>
  <si>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</si>
  <si>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</si>
  <si>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</si>
  <si>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</si>
  <si>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</si>
  <si>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</si>
  <si>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</si>
  <si>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</si>
  <si>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</si>
  <si>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</si>
  <si>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</si>
  <si>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</si>
  <si>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</si>
  <si>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</si>
  <si>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</si>
  <si>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</si>
  <si>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</si>
  <si>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</si>
  <si>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</si>
  <si>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</si>
  <si>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</si>
  <si>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</si>
  <si>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</si>
  <si>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</si>
  <si>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</si>
  <si>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</si>
  <si>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</si>
  <si>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</si>
  <si>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</si>
  <si>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</si>
  <si>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</si>
  <si>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</si>
  <si>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</si>
  <si>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</si>
  <si>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</si>
  <si>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</si>
  <si>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</si>
  <si>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</si>
  <si>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</si>
  <si>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</si>
  <si>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</si>
  <si>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</si>
  <si>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</si>
  <si>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</si>
  <si>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</si>
  <si>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</si>
  <si>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</si>
  <si>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</si>
  <si>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</si>
  <si>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</si>
  <si>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</si>
  <si>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</si>
  <si>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</si>
  <si>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</si>
  <si>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</si>
  <si>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</si>
  <si>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</si>
  <si>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</si>
  <si>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</si>
  <si>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</si>
  <si>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</si>
  <si>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</si>
  <si>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</si>
  <si>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</si>
  <si>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</si>
  <si>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</si>
  <si>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</si>
  <si>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</si>
  <si>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</si>
  <si>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</si>
  <si>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</si>
  <si>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</si>
  <si>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</si>
  <si>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</si>
  <si>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</si>
  <si>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</si>
  <si>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</si>
  <si>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</si>
  <si>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</si>
  <si>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</si>
  <si>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</si>
  <si>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</si>
  <si>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</si>
  <si>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</si>
  <si>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</si>
  <si>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</si>
  <si>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</si>
  <si>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</si>
  <si>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</si>
  <si>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</si>
  <si>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</si>
  <si>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</si>
  <si>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</si>
  <si>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</si>
  <si>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</si>
  <si>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</si>
  <si>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</si>
  <si>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</si>
  <si>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</si>
  <si>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</si>
  <si>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</si>
  <si>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</si>
  <si>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</si>
  <si>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</si>
  <si>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</si>
  <si>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</si>
  <si>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</si>
  <si>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</si>
  <si>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</si>
  <si>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</si>
  <si>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</si>
  <si>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</si>
  <si>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</si>
  <si>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</si>
  <si>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</si>
  <si>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</si>
  <si>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</si>
  <si>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</si>
  <si>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</si>
  <si>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</si>
  <si>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</si>
  <si>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</si>
  <si>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</si>
  <si>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</si>
  <si>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</si>
  <si>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</si>
  <si>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</si>
  <si>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</si>
  <si>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</si>
  <si>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</si>
  <si>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</si>
  <si>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</si>
  <si>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</si>
  <si>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</si>
  <si>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</si>
  <si>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</si>
  <si>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</si>
  <si>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</si>
  <si>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</si>
  <si>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</si>
  <si>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</si>
  <si>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</si>
  <si>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</si>
  <si>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</si>
  <si>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</si>
  <si>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</si>
  <si>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</si>
  <si>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</si>
  <si>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</si>
  <si>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</si>
  <si>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</si>
  <si>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</si>
  <si>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</si>
  <si>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</si>
  <si>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</si>
  <si>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</si>
  <si>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</si>
  <si>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</si>
  <si>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</si>
  <si>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</si>
  <si>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</si>
  <si>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</si>
  <si>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</si>
  <si>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</si>
  <si>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</si>
  <si>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</si>
  <si>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</si>
  <si>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</si>
  <si>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</si>
  <si>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</si>
  <si>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</si>
  <si>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</si>
  <si>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</si>
  <si>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</si>
  <si>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</si>
  <si>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</si>
  <si>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</si>
  <si>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</si>
  <si>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</si>
  <si>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</si>
  <si>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</si>
  <si>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</si>
  <si>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</si>
  <si>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</si>
  <si>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</si>
  <si>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</si>
  <si>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</si>
  <si>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</si>
  <si>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</si>
  <si>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</si>
  <si>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</si>
  <si>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</si>
  <si>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</si>
  <si>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</si>
  <si>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</si>
  <si>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</si>
  <si>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</si>
  <si>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</si>
  <si>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</si>
  <si>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</si>
  <si>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</si>
  <si>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</si>
  <si>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</si>
  <si>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</si>
  <si>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</si>
  <si>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</si>
  <si>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</si>
  <si>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</si>
  <si>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</si>
  <si>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</si>
  <si>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</si>
  <si>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</si>
  <si>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</si>
  <si>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</si>
  <si>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</si>
  <si>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</si>
  <si>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</si>
  <si>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</si>
  <si>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</si>
  <si>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</si>
  <si>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</si>
  <si>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</si>
  <si>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</si>
  <si>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</si>
  <si>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</si>
  <si>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</si>
  <si>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</si>
  <si>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</si>
  <si>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</si>
  <si>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</si>
  <si>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</si>
  <si>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</si>
  <si>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</si>
  <si>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</si>
  <si>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</si>
  <si>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</si>
  <si>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</si>
  <si>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</si>
  <si>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</si>
  <si>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</si>
  <si>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</si>
  <si>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</si>
  <si>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</si>
  <si>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</si>
  <si>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</si>
  <si>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</si>
  <si>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</si>
  <si>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</si>
  <si>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</si>
  <si>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</si>
  <si>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</si>
  <si>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</si>
  <si>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</si>
  <si>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</si>
  <si>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</si>
  <si>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</si>
  <si>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</si>
  <si>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</si>
  <si>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</si>
  <si>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</si>
  <si>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</si>
  <si>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</si>
  <si>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</si>
  <si>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</si>
  <si>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</si>
  <si>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</si>
  <si>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</si>
  <si>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</si>
  <si>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</si>
  <si>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</si>
  <si>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</si>
  <si>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</si>
  <si>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</si>
  <si>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</si>
  <si>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</si>
  <si>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</si>
  <si>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</si>
  <si>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</si>
  <si>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</si>
  <si>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</si>
  <si>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</si>
  <si>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</si>
  <si>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</si>
  <si>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</si>
  <si>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</si>
  <si>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</si>
  <si>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</si>
  <si>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</si>
  <si>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</si>
  <si>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</si>
  <si>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</si>
  <si>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</si>
  <si>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</si>
  <si>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</si>
  <si>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</si>
  <si>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</si>
  <si>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</si>
  <si>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</si>
  <si>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</si>
  <si>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</si>
  <si>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</si>
  <si>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</si>
  <si>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</si>
  <si>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</si>
  <si>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</si>
  <si>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</si>
  <si>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</si>
  <si>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</si>
  <si>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</si>
  <si>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</si>
  <si>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</si>
  <si>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</si>
  <si>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</si>
  <si>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</si>
  <si>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</si>
  <si>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</si>
  <si>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</si>
  <si>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</si>
  <si>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</si>
  <si>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</si>
  <si>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</si>
  <si>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</si>
  <si>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</si>
  <si>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</si>
  <si>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</si>
  <si>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</si>
  <si>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</si>
  <si>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</si>
  <si>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</si>
  <si>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</si>
  <si>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</si>
  <si>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</si>
  <si>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</si>
  <si>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</si>
  <si>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</si>
  <si>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</si>
  <si>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</si>
  <si>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</si>
  <si>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</si>
  <si>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</si>
  <si>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</si>
  <si>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</si>
  <si>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</si>
  <si>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</si>
  <si>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</si>
  <si>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</si>
  <si>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</si>
  <si>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</si>
  <si>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</si>
  <si>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</si>
  <si>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</si>
  <si>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</si>
  <si>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</si>
  <si>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</si>
  <si>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</si>
  <si>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</si>
  <si>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</si>
  <si>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</si>
  <si>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</si>
  <si>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</si>
  <si>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</si>
  <si>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</si>
  <si>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</si>
  <si>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</si>
  <si>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</si>
  <si>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</si>
  <si>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</si>
  <si>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</si>
  <si>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</si>
  <si>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</si>
  <si>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</si>
  <si>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</si>
  <si>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</si>
  <si>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</si>
  <si>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</si>
  <si>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</si>
  <si>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</si>
  <si>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</si>
  <si>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</si>
  <si>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</si>
  <si>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</si>
  <si>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</si>
  <si>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</si>
  <si>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</si>
  <si>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</si>
  <si>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</si>
  <si>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</si>
  <si>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</si>
  <si>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</si>
  <si>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</si>
  <si>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</si>
  <si>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</si>
  <si>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</si>
  <si>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</si>
  <si>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</si>
  <si>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</si>
  <si>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</si>
  <si>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</si>
  <si>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</si>
  <si>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</si>
  <si>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</si>
  <si>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</si>
  <si>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</si>
  <si>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</si>
  <si>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</si>
  <si>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</si>
  <si>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</si>
  <si>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</si>
  <si>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</si>
  <si>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</si>
  <si>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</si>
  <si>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</si>
  <si>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</si>
  <si>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</si>
  <si>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</si>
  <si>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</si>
  <si>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</si>
  <si>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</si>
  <si>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</si>
  <si>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</si>
  <si>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</si>
  <si>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</si>
  <si>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</si>
  <si>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</si>
  <si>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</si>
  <si>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</si>
  <si>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</si>
  <si>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</si>
  <si>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</si>
  <si>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</si>
  <si>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</si>
  <si>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</si>
  <si>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</si>
  <si>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</si>
  <si>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</si>
  <si>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</si>
  <si>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</si>
  <si>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</si>
  <si>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</si>
  <si>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</si>
  <si>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</si>
  <si>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</si>
  <si>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</si>
  <si>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</si>
  <si>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</si>
  <si>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</si>
  <si>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</si>
  <si>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</si>
  <si>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</si>
  <si>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</si>
  <si>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</si>
  <si>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</si>
  <si>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</si>
  <si>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</si>
  <si>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</si>
  <si>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</si>
  <si>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</si>
  <si>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</si>
  <si>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</si>
  <si>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</si>
  <si>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</si>
  <si>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</si>
  <si>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</si>
  <si>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</si>
  <si>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</si>
  <si>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</si>
  <si>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</si>
  <si>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</si>
  <si>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</si>
  <si>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</si>
  <si>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</si>
  <si>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</si>
  <si>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</si>
  <si>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</si>
  <si>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</si>
  <si>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</si>
  <si>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</si>
  <si>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</si>
  <si>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</si>
  <si>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</si>
  <si>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</si>
  <si>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</si>
  <si>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</si>
  <si>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</si>
  <si>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</si>
  <si>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</si>
  <si>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</si>
  <si>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</si>
  <si>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</si>
  <si>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</si>
  <si>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</si>
  <si>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</si>
  <si>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</si>
  <si>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</si>
  <si>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</si>
  <si>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</si>
  <si>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</si>
  <si>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</si>
  <si>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</si>
  <si>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</si>
  <si>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</si>
  <si>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</si>
  <si>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</si>
  <si>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</si>
  <si>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</si>
  <si>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</si>
  <si>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</si>
  <si>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</si>
  <si>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</si>
  <si>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</si>
  <si>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</si>
  <si>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</si>
  <si>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</si>
  <si>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</si>
  <si>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</si>
  <si>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</si>
  <si>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</si>
  <si>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</si>
  <si>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</si>
  <si>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</si>
  <si>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</si>
  <si>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</si>
  <si>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</si>
  <si>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</si>
  <si>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</si>
  <si>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</si>
  <si>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</si>
  <si>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</si>
  <si>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</si>
  <si>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</si>
  <si>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</si>
  <si>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</si>
  <si>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</si>
  <si>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</si>
  <si>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</si>
  <si>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</si>
  <si>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</si>
  <si>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</si>
  <si>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</si>
  <si>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</si>
  <si>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</si>
  <si>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</si>
  <si>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</si>
  <si>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</si>
  <si>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</si>
  <si>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</si>
  <si>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</si>
  <si>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</si>
  <si>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</si>
  <si>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</si>
  <si>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</si>
  <si>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</si>
  <si>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</si>
  <si>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</si>
  <si>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</si>
  <si>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</si>
  <si>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</si>
  <si>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</si>
  <si>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</si>
  <si>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</si>
  <si>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</si>
  <si>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</si>
  <si>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</si>
  <si>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</si>
  <si>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</si>
  <si>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</si>
  <si>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</si>
  <si>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</si>
  <si>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</si>
  <si>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</si>
  <si>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</si>
  <si>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</si>
  <si>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</si>
  <si>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</si>
  <si>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</si>
  <si>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</si>
  <si>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</si>
  <si>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</si>
  <si>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</si>
  <si>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</si>
  <si>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</si>
  <si>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</si>
  <si>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</si>
  <si>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</si>
  <si>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</si>
  <si>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</si>
  <si>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</si>
  <si>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</si>
  <si>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</si>
  <si>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</si>
  <si>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</si>
  <si>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</si>
  <si>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</si>
  <si>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</si>
  <si>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</si>
  <si>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</si>
  <si>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</si>
  <si>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</si>
  <si>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</si>
  <si>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</si>
  <si>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</si>
  <si>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</si>
  <si>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</si>
  <si>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</si>
  <si>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</si>
  <si>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</si>
  <si>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</si>
  <si>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</si>
  <si>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</si>
  <si>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</si>
  <si>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</si>
  <si>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</si>
  <si>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</si>
  <si>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</si>
  <si>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</si>
  <si>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</si>
  <si>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</si>
  <si>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</si>
  <si>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</si>
  <si>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</si>
  <si>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</si>
  <si>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</si>
  <si>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</si>
  <si>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</si>
  <si>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</si>
  <si>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</si>
  <si>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</si>
  <si>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</si>
  <si>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</si>
  <si>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</si>
  <si>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</si>
  <si>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</si>
  <si>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</si>
  <si>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</si>
  <si>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</si>
  <si>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</si>
  <si>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</si>
  <si>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</si>
  <si>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</si>
  <si>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</si>
  <si>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</si>
  <si>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</si>
  <si>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</si>
  <si>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</si>
  <si>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</si>
  <si>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</si>
  <si>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</si>
  <si>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</si>
  <si>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</si>
  <si>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</si>
  <si>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</si>
  <si>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</si>
  <si>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</si>
  <si>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</si>
  <si>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</si>
  <si>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</si>
  <si>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</si>
  <si>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</si>
  <si>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</si>
  <si>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</si>
  <si>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</si>
  <si>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</si>
  <si>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</si>
  <si>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</si>
  <si>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</si>
  <si>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</si>
  <si>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</si>
  <si>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</si>
  <si>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</si>
  <si>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</si>
  <si>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</si>
  <si>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</si>
  <si>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</si>
  <si>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</si>
  <si>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</si>
  <si>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</si>
  <si>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</si>
  <si>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</si>
  <si>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</si>
  <si>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</si>
  <si>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</si>
  <si>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</si>
  <si>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</si>
  <si>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</si>
  <si>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</si>
  <si>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</si>
  <si>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</si>
  <si>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</si>
  <si>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</si>
  <si>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</si>
  <si>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</si>
  <si>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</si>
  <si>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</si>
  <si>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</si>
  <si>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</si>
  <si>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</si>
  <si>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</si>
  <si>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</si>
  <si>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</si>
  <si>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</si>
  <si>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</si>
  <si>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</si>
  <si>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</si>
  <si>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</si>
  <si>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</si>
  <si>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</si>
  <si>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</si>
  <si>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</si>
  <si>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</si>
  <si>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</si>
  <si>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</si>
  <si>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</si>
  <si>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</si>
  <si>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</si>
  <si>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</si>
  <si>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</si>
  <si>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</si>
  <si>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</si>
  <si>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</si>
  <si>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</si>
  <si>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</si>
  <si>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</si>
  <si>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</si>
  <si>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</si>
  <si>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</si>
  <si>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</si>
  <si>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</si>
  <si>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</si>
  <si>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</si>
  <si>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</si>
  <si>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</si>
  <si>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</si>
  <si>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</si>
  <si>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</si>
  <si>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</si>
  <si>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</si>
  <si>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</si>
  <si>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</si>
  <si>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</si>
  <si>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</si>
  <si>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</si>
  <si>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</si>
  <si>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</si>
  <si>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</si>
  <si>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</si>
  <si>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</si>
  <si>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</si>
  <si>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</si>
  <si>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</si>
  <si>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</si>
  <si>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</si>
  <si>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</si>
  <si>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</si>
  <si>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</si>
  <si>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</si>
  <si>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</si>
  <si>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</si>
  <si>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</si>
  <si>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</si>
  <si>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</si>
  <si>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</si>
  <si>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</si>
  <si>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</si>
  <si>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</si>
  <si>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</si>
  <si>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</si>
  <si>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</si>
  <si>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</si>
  <si>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</si>
  <si>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</si>
  <si>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</si>
  <si>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</si>
  <si>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</si>
  <si>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</si>
  <si>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</si>
  <si>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</si>
  <si>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</si>
  <si>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</si>
  <si>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</si>
  <si>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</si>
  <si>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</si>
  <si>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</si>
  <si>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</si>
  <si>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</si>
  <si>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</si>
  <si>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</si>
  <si>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</si>
  <si>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</si>
  <si>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</si>
  <si>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</si>
  <si>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</si>
  <si>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</si>
  <si>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</si>
  <si>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</si>
  <si>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</si>
  <si>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</si>
  <si>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</si>
  <si>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</si>
  <si>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</si>
  <si>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</si>
  <si>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</si>
  <si>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</si>
  <si>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</si>
  <si>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</si>
  <si>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</si>
  <si>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</si>
  <si>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</si>
  <si>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</si>
  <si>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</si>
  <si>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</si>
  <si>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</si>
  <si>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</si>
  <si>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</si>
  <si>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</si>
  <si>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</si>
  <si>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</si>
  <si>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</si>
  <si>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</si>
  <si>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</si>
  <si>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</si>
  <si>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</si>
  <si>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</si>
  <si>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</si>
  <si>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</si>
  <si>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</si>
  <si>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</si>
  <si>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</si>
  <si>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</si>
  <si>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</si>
  <si>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</si>
  <si>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</si>
  <si>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</si>
  <si>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</si>
  <si>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</si>
  <si>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</si>
  <si>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</si>
  <si>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</si>
  <si>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</si>
  <si>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</si>
  <si>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</si>
  <si>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</si>
  <si>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</si>
  <si>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</si>
  <si>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</si>
  <si>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</si>
  <si>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</si>
  <si>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</si>
  <si>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</si>
  <si>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</si>
  <si>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</si>
  <si>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</si>
  <si>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</si>
  <si>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</si>
  <si>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</si>
  <si>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</si>
  <si>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</si>
  <si>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</si>
  <si>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</si>
  <si>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</si>
  <si>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</si>
  <si>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</si>
  <si>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</si>
  <si>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</si>
  <si>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</si>
  <si>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</si>
  <si>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</si>
  <si>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</si>
  <si>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</si>
  <si>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</si>
  <si>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</si>
  <si>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</si>
  <si>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</si>
  <si>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</si>
  <si>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</si>
  <si>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</si>
  <si>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</si>
  <si>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</si>
  <si>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</si>
  <si>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</si>
  <si>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</si>
  <si>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</si>
  <si>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</si>
  <si>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</si>
  <si>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</si>
  <si>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</si>
  <si>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</si>
  <si>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</si>
  <si>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</si>
  <si>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</si>
  <si>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</si>
  <si>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</si>
  <si>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</si>
  <si>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</si>
  <si>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</si>
  <si>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</si>
  <si>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</si>
  <si>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</si>
  <si>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</si>
  <si>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</si>
  <si>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</si>
  <si>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</si>
  <si>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</si>
  <si>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</si>
  <si>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</si>
  <si>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</si>
  <si>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</si>
  <si>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</si>
  <si>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</si>
  <si>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</si>
  <si>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</si>
  <si>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</si>
  <si>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</si>
  <si>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</si>
  <si>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</si>
  <si>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</si>
  <si>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</si>
  <si>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</si>
  <si>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</si>
  <si>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</si>
  <si>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</si>
  <si>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</si>
  <si>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</si>
  <si>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</si>
  <si>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</si>
  <si>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</si>
  <si>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</si>
  <si>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</si>
  <si>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</si>
  <si>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</si>
  <si>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</si>
  <si>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</si>
  <si>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</si>
  <si>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</si>
  <si>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</si>
  <si>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</si>
  <si>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</si>
  <si>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</si>
  <si>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</si>
  <si>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</si>
  <si>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</si>
  <si>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</si>
  <si>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</si>
  <si>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</si>
  <si>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</si>
  <si>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</si>
  <si>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</si>
  <si>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</si>
  <si>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</si>
  <si>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</si>
  <si>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</si>
  <si>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</si>
  <si>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</si>
  <si>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</si>
  <si>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</si>
  <si>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</si>
  <si>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</si>
  <si>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</si>
  <si>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</si>
  <si>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</si>
  <si>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</si>
  <si>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</si>
  <si>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</si>
  <si>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</si>
  <si>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</si>
  <si>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</si>
  <si>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</si>
  <si>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</si>
  <si>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</si>
  <si>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</si>
  <si>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</si>
  <si>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</si>
  <si>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</si>
  <si>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</si>
  <si>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</si>
  <si>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</si>
  <si>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</si>
  <si>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</si>
  <si>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</si>
  <si>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</si>
  <si>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</si>
  <si>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</si>
  <si>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</si>
  <si>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</si>
  <si>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</si>
  <si>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</si>
  <si>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</si>
  <si>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</si>
  <si>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</si>
  <si>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</si>
  <si>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</si>
  <si>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</si>
  <si>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</si>
  <si>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</si>
  <si>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</si>
  <si>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</si>
  <si>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</si>
  <si>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</si>
  <si>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</si>
  <si>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</si>
  <si>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</si>
  <si>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</si>
  <si>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</si>
  <si>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</si>
  <si>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</si>
  <si>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</si>
  <si>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</si>
  <si>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</si>
  <si>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</si>
  <si>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</si>
  <si>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</si>
  <si>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</si>
  <si>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</si>
  <si>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</si>
  <si>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</si>
  <si>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</si>
  <si>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</si>
  <si>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</si>
  <si>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</si>
  <si>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</si>
  <si>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</si>
  <si>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</si>
  <si>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</si>
  <si>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</si>
  <si>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</si>
  <si>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</si>
  <si>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</si>
  <si>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</si>
  <si>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</si>
  <si>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</si>
  <si>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</si>
  <si>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</si>
  <si>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</si>
  <si>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</si>
  <si>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</si>
  <si>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</si>
  <si>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</si>
  <si>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</si>
  <si>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</si>
  <si>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</si>
  <si>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</si>
  <si>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</si>
  <si>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</si>
  <si>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</si>
  <si>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</si>
  <si>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</si>
  <si>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</si>
  <si>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</si>
  <si>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</si>
  <si>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</si>
  <si>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</si>
  <si>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</si>
  <si>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</si>
  <si>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</si>
  <si>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</si>
  <si>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</si>
  <si>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</si>
  <si>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</si>
  <si>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</si>
  <si>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</si>
  <si>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</si>
  <si>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</si>
  <si>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</si>
  <si>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</si>
  <si>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</si>
  <si>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</si>
  <si>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</si>
  <si>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</si>
  <si>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</si>
  <si>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</si>
  <si>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</si>
  <si>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</si>
  <si>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</si>
  <si>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</si>
  <si>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</si>
  <si>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</si>
  <si>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</si>
  <si>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</si>
  <si>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</si>
  <si>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</si>
  <si>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</si>
  <si>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</si>
  <si>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</si>
  <si>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</si>
  <si>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</si>
  <si>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</si>
  <si>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</si>
  <si>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</si>
  <si>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</si>
  <si>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</si>
  <si>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</si>
  <si>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</si>
  <si>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</si>
  <si>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</si>
  <si>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</si>
  <si>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</si>
  <si>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</si>
  <si>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</si>
  <si>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</si>
  <si>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</si>
  <si>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</si>
  <si>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</si>
  <si>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</si>
  <si>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</si>
  <si>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</si>
  <si>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</si>
  <si>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</si>
  <si>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</si>
  <si>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</si>
  <si>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</si>
  <si>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</si>
  <si>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</si>
  <si>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</si>
  <si>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</si>
  <si>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</si>
  <si>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</si>
  <si>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</si>
  <si>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</si>
  <si>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</si>
  <si>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</si>
  <si>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</si>
  <si>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</si>
  <si>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</si>
  <si>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</si>
  <si>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</si>
  <si>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</si>
  <si>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</si>
  <si>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</si>
  <si>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</si>
  <si>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</si>
  <si>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</si>
  <si>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</si>
  <si>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</si>
  <si>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</si>
  <si>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</si>
  <si>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</si>
  <si>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</si>
  <si>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</si>
  <si>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</si>
  <si>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</si>
  <si>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</si>
  <si>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</si>
  <si>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</si>
  <si>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</si>
  <si>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</si>
  <si>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</si>
  <si>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</si>
  <si>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</si>
  <si>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</si>
  <si>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</si>
  <si>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</si>
  <si>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</si>
  <si>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</si>
  <si>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</si>
  <si>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</si>
  <si>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</si>
  <si>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</si>
  <si>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</si>
  <si>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</si>
  <si>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</si>
  <si>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</si>
  <si>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</si>
  <si>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</si>
  <si>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</si>
  <si>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</si>
  <si>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</si>
  <si>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</si>
  <si>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</si>
  <si>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</si>
  <si>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</si>
  <si>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</si>
  <si>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</si>
  <si>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</si>
  <si>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</si>
  <si>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</si>
  <si>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</si>
  <si>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</si>
  <si>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</si>
  <si>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</si>
  <si>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</si>
  <si>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</si>
  <si>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</si>
  <si>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</si>
  <si>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</si>
  <si>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</si>
  <si>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</si>
  <si>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</si>
  <si>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</si>
  <si>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</si>
  <si>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</si>
  <si>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</si>
  <si>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</si>
  <si>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</si>
  <si>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</si>
  <si>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</si>
  <si>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</si>
  <si>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</si>
  <si>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</si>
  <si>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</si>
  <si>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</si>
  <si>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</si>
  <si>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</si>
  <si>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</si>
  <si>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</si>
  <si>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</si>
  <si>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</si>
  <si>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</si>
  <si>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</si>
  <si>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</si>
  <si>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</si>
  <si>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</si>
  <si>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</si>
  <si>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</si>
  <si>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</si>
  <si>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</si>
  <si>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</si>
  <si>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</si>
  <si>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</si>
  <si>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</si>
  <si>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</si>
  <si>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</si>
  <si>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</si>
  <si>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</si>
  <si>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</si>
  <si>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</si>
  <si>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</si>
  <si>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</si>
  <si>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</si>
  <si>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</si>
  <si>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</si>
  <si>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</si>
  <si>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</si>
  <si>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</si>
  <si>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</si>
  <si>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</si>
  <si>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</si>
  <si>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</si>
  <si>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</si>
  <si>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</si>
  <si>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</si>
  <si>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</si>
  <si>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</si>
  <si>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</si>
  <si>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</si>
  <si>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</si>
  <si>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</si>
  <si>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</si>
  <si>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</si>
  <si>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</si>
  <si>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</si>
  <si>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</si>
  <si>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</si>
  <si>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</si>
  <si>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</si>
  <si>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</si>
  <si>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</si>
  <si>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</si>
  <si>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</si>
  <si>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</si>
  <si>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</si>
  <si>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</si>
  <si>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</si>
  <si>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</si>
  <si>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</si>
  <si>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</si>
  <si>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</si>
  <si>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</si>
  <si>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</si>
  <si>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</si>
  <si>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</si>
  <si>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</si>
  <si>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</si>
  <si>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</si>
  <si>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</si>
  <si>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</si>
  <si>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</si>
  <si>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</si>
  <si>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</si>
  <si>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</si>
  <si>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</si>
  <si>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</si>
  <si>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</si>
  <si>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</si>
  <si>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</si>
  <si>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</si>
  <si>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</si>
  <si>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</si>
  <si>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</si>
  <si>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</si>
  <si>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</si>
  <si>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</si>
  <si>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</si>
  <si>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</si>
  <si>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</si>
  <si>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</si>
  <si>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</si>
  <si>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</si>
  <si>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</si>
  <si>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</si>
  <si>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</si>
  <si>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</si>
  <si>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</si>
  <si>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</si>
  <si>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</si>
  <si>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</si>
  <si>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</si>
  <si>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</si>
  <si>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</si>
  <si>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</si>
  <si>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</si>
  <si>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</si>
  <si>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</si>
  <si>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</si>
  <si>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</si>
  <si>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</si>
  <si>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</si>
  <si>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</si>
  <si>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</si>
  <si>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</si>
  <si>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</si>
  <si>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</si>
  <si>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</si>
  <si>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</si>
  <si>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</si>
  <si>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</si>
  <si>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</si>
  <si>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</si>
  <si>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</si>
  <si>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</si>
  <si>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</si>
  <si>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</si>
  <si>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</si>
  <si>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</si>
  <si>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</si>
  <si>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</si>
  <si>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</si>
  <si>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</si>
  <si>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</si>
  <si>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</si>
  <si>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</si>
  <si>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</si>
  <si>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</si>
  <si>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</si>
  <si>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</si>
  <si>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</si>
  <si>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</si>
  <si>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</si>
  <si>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</si>
  <si>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</si>
  <si>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</si>
  <si>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</si>
  <si>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</si>
  <si>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</si>
  <si>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</si>
  <si>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</si>
  <si>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</si>
  <si>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</si>
  <si>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</si>
  <si>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</si>
  <si>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</si>
  <si>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</si>
  <si>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</si>
  <si>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</si>
  <si>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</si>
  <si>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</si>
  <si>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</si>
  <si>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</si>
  <si>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</si>
  <si>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</si>
  <si>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</si>
  <si>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</si>
  <si>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</si>
  <si>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</si>
  <si>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</si>
  <si>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</si>
  <si>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</si>
  <si>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</si>
  <si>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</si>
  <si>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</si>
  <si>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</si>
  <si>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</si>
  <si>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</si>
  <si>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</si>
  <si>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</si>
  <si>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</si>
  <si>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</si>
  <si>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</si>
  <si>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</si>
  <si>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</si>
  <si>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</si>
  <si>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</si>
  <si>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</si>
  <si>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</si>
  <si>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</si>
  <si>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</si>
  <si>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</si>
  <si>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</si>
  <si>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</si>
  <si>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</si>
  <si>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</si>
  <si>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</si>
  <si>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</si>
  <si>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</si>
  <si>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</si>
  <si>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</si>
  <si>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</si>
  <si>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</si>
  <si>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</si>
  <si>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</si>
  <si>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</si>
  <si>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</si>
  <si>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</si>
  <si>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</si>
  <si>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</si>
  <si>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</si>
  <si>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</si>
  <si>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</si>
  <si>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</si>
  <si>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</si>
  <si>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</si>
  <si>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</si>
  <si>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</si>
  <si>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</si>
  <si>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</si>
  <si>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</si>
  <si>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</si>
  <si>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</si>
  <si>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</si>
  <si>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</si>
  <si>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</si>
  <si>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</si>
  <si>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</si>
  <si>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</si>
  <si>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</si>
  <si>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</si>
  <si>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</si>
  <si>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</si>
  <si>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</si>
  <si>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</si>
  <si>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</si>
  <si>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</si>
  <si>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</si>
  <si>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</si>
  <si>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</si>
  <si>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</si>
  <si>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</si>
  <si>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</si>
  <si>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</si>
  <si>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</si>
  <si>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</si>
  <si>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</si>
  <si>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</si>
  <si>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</si>
  <si>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</si>
  <si>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</si>
  <si>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</si>
  <si>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</si>
  <si>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</si>
  <si>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</si>
  <si>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</si>
  <si>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</si>
  <si>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</si>
  <si>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</si>
  <si>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</si>
  <si>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</si>
  <si>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</si>
  <si>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</si>
  <si>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</si>
  <si>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</si>
  <si>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</si>
  <si>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</si>
  <si>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</si>
  <si>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</si>
  <si>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</si>
  <si>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</si>
  <si>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</si>
  <si>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</si>
  <si>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</si>
  <si>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</si>
  <si>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</si>
  <si>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</si>
  <si>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</si>
  <si>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</si>
  <si>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</si>
  <si>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</si>
  <si>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</si>
  <si>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</si>
  <si>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</si>
  <si>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</si>
  <si>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</si>
  <si>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</si>
  <si>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</si>
  <si>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</si>
  <si>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</si>
  <si>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</si>
  <si>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</si>
  <si>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</si>
  <si>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</si>
  <si>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</si>
  <si>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</si>
  <si>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</si>
  <si>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</si>
  <si>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</si>
  <si>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</si>
  <si>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</si>
  <si>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</si>
  <si>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</si>
  <si>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</si>
  <si>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</si>
  <si>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</si>
  <si>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</si>
  <si>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</si>
  <si>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</si>
  <si>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</si>
  <si>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</si>
  <si>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</si>
  <si>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</si>
  <si>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</si>
  <si>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</si>
  <si>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</si>
  <si>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</si>
  <si>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</si>
  <si>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</si>
  <si>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</si>
  <si>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</si>
  <si>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</si>
  <si>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</si>
  <si>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</si>
  <si>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</si>
  <si>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</si>
  <si>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</si>
  <si>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</si>
  <si>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</si>
  <si>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</si>
  <si>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</si>
  <si>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</si>
  <si>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</si>
  <si>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</si>
  <si>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</si>
  <si>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</si>
  <si>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</si>
  <si>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</si>
  <si>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</si>
  <si>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</si>
  <si>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</si>
  <si>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</si>
  <si>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</si>
  <si>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</si>
  <si>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</si>
  <si>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</si>
  <si>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</si>
  <si>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</si>
  <si>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</si>
  <si>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</si>
  <si>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</si>
  <si>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</si>
  <si>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</si>
  <si>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</si>
  <si>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</si>
  <si>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</si>
  <si>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</si>
  <si>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</si>
  <si>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</si>
  <si>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</si>
  <si>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</si>
  <si>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</si>
  <si>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</si>
  <si>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</si>
  <si>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</si>
  <si>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</si>
  <si>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</si>
  <si>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</si>
  <si>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</si>
  <si>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</si>
  <si>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</si>
  <si>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</si>
  <si>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</si>
  <si>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</si>
  <si>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</si>
  <si>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</si>
  <si>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</si>
  <si>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</si>
  <si>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</si>
  <si>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</si>
  <si>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</si>
  <si>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</si>
  <si>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</si>
  <si>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</si>
  <si>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</si>
  <si>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</si>
  <si>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</si>
  <si>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</si>
  <si>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</si>
  <si>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</si>
  <si>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</si>
  <si>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</si>
  <si>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</si>
  <si>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</si>
  <si>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</si>
  <si>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</si>
  <si>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</si>
  <si>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</si>
  <si>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</si>
  <si>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</si>
  <si>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</si>
  <si>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</si>
  <si>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</si>
  <si>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</si>
  <si>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</si>
  <si>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</si>
  <si>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</si>
  <si>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</si>
  <si>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</si>
  <si>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</si>
  <si>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</si>
  <si>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</si>
  <si>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</si>
  <si>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</si>
  <si>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</si>
  <si>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</si>
  <si>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</si>
  <si>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</si>
  <si>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</si>
  <si>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</si>
  <si>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</si>
  <si>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</si>
  <si>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</si>
  <si>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</si>
  <si>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</si>
  <si>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</si>
  <si>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</si>
  <si>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</si>
  <si>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</si>
  <si>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</si>
  <si>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</si>
  <si>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</si>
  <si>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</si>
  <si>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</si>
  <si>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</si>
  <si>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</si>
  <si>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</si>
  <si>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</si>
  <si>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</si>
  <si>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</si>
  <si>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</si>
  <si>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</si>
  <si>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</si>
  <si>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</si>
  <si>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</si>
  <si>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</si>
  <si>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</si>
  <si>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</si>
  <si>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</si>
  <si>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</si>
  <si>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</si>
  <si>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</si>
  <si>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</si>
  <si>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</si>
  <si>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</si>
  <si>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</si>
  <si>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</si>
  <si>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</si>
  <si>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</si>
  <si>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</si>
  <si>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</si>
  <si>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</si>
  <si>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</si>
  <si>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</si>
  <si>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</si>
  <si>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</si>
  <si>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</si>
  <si>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</si>
  <si>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</si>
  <si>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</si>
  <si>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</si>
  <si>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</si>
  <si>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</si>
  <si>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</si>
  <si>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</si>
  <si>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</si>
  <si>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</si>
  <si>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</si>
  <si>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</si>
  <si>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</si>
  <si>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</si>
  <si>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</si>
  <si>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</si>
  <si>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</si>
  <si>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</si>
  <si>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</si>
  <si>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</si>
  <si>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</si>
  <si>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</si>
  <si>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</si>
  <si>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</si>
  <si>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</si>
  <si>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</si>
  <si>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</si>
  <si>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</si>
  <si>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</si>
  <si>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</si>
  <si>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</si>
  <si>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</si>
  <si>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</si>
  <si>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</si>
  <si>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</si>
  <si>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</si>
  <si>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</si>
  <si>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</si>
  <si>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</si>
  <si>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</si>
  <si>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</si>
  <si>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</si>
  <si>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</si>
  <si>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</si>
  <si>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</si>
  <si>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</si>
  <si>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</si>
  <si>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</si>
  <si>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</si>
  <si>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</si>
  <si>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</si>
  <si>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</si>
  <si>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</si>
  <si>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</si>
  <si>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</si>
  <si>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</si>
  <si>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</si>
  <si>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</si>
  <si>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</si>
  <si>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</si>
  <si>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</si>
  <si>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</si>
  <si>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</si>
  <si>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</si>
  <si>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</si>
  <si>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</si>
  <si>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</si>
  <si>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</si>
  <si>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</si>
  <si>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</si>
  <si>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</si>
  <si>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</si>
  <si>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</si>
  <si>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</si>
  <si>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</si>
  <si>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</si>
  <si>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</si>
  <si>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</si>
  <si>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</si>
  <si>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</si>
  <si>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</si>
  <si>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</si>
  <si>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</si>
  <si>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</si>
  <si>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</si>
  <si>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</si>
  <si>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</si>
  <si>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</si>
  <si>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</si>
  <si>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</si>
  <si>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</si>
  <si>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</si>
  <si>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</si>
  <si>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</si>
  <si>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</si>
  <si>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</si>
  <si>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</si>
  <si>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</si>
  <si>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</si>
  <si>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</si>
  <si>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</si>
  <si>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</si>
  <si>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</si>
  <si>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</si>
  <si>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</si>
  <si>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</si>
  <si>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</si>
  <si>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</si>
  <si>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</si>
  <si>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</si>
  <si>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</si>
  <si>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</si>
  <si>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</si>
  <si>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</si>
  <si>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</si>
  <si>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</si>
  <si>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</si>
  <si>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</si>
  <si>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</si>
  <si>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</si>
  <si>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</si>
  <si>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</si>
  <si>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</si>
  <si>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</si>
  <si>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</si>
  <si>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</si>
  <si>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</si>
  <si>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</si>
  <si>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</si>
  <si>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</si>
  <si>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</si>
  <si>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</si>
  <si>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</si>
  <si>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</si>
  <si>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</si>
  <si>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</si>
  <si>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</si>
  <si>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</si>
  <si>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</si>
  <si>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</si>
  <si>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</si>
  <si>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</si>
  <si>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</si>
  <si>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</si>
  <si>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</si>
  <si>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</si>
  <si>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</si>
  <si>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</si>
  <si>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</si>
  <si>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</si>
  <si>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</si>
  <si>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</si>
  <si>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</si>
  <si>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</si>
  <si>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</si>
  <si>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</si>
  <si>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</si>
  <si>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</si>
  <si>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</si>
  <si>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</si>
  <si>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</si>
  <si>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</si>
  <si>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</si>
  <si>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</si>
  <si>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</si>
  <si>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</si>
  <si>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</si>
  <si>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</si>
  <si>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</si>
  <si>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</si>
  <si>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</si>
  <si>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</si>
  <si>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</si>
  <si>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</si>
  <si>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</si>
  <si>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</si>
  <si>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</si>
  <si>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</si>
  <si>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</si>
  <si>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</si>
  <si>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</si>
  <si>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</si>
  <si>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</si>
  <si>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</si>
  <si>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</si>
  <si>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</si>
  <si>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</si>
  <si>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</si>
  <si>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</si>
  <si>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</si>
  <si>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</si>
  <si>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</si>
  <si>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</si>
  <si>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</si>
  <si>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</si>
  <si>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</si>
  <si>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</si>
  <si>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</si>
  <si>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</si>
  <si>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</si>
  <si>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</si>
  <si>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</si>
  <si>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</si>
  <si>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</si>
  <si>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</si>
  <si>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</si>
  <si>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</si>
  <si>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</si>
  <si>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</si>
  <si>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</si>
  <si>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</si>
  <si>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</si>
  <si>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</si>
  <si>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</si>
  <si>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</si>
  <si>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</si>
  <si>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</si>
  <si>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</si>
  <si>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</si>
  <si>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</si>
  <si>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</si>
  <si>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</si>
  <si>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</si>
  <si>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</si>
  <si>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</si>
  <si>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</si>
  <si>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</si>
  <si>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</si>
  <si>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</si>
  <si>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</si>
  <si>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</si>
  <si>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</si>
  <si>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</si>
  <si>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</si>
  <si>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</si>
  <si>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</si>
  <si>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</si>
  <si>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</si>
  <si>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</si>
  <si>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</si>
  <si>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</si>
  <si>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</si>
  <si>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</si>
  <si>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</si>
  <si>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</si>
  <si>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</si>
  <si>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</si>
  <si>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</si>
  <si>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</si>
  <si>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</si>
  <si>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</si>
  <si>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</si>
  <si>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</si>
  <si>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</si>
  <si>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</si>
  <si>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</si>
  <si>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</si>
  <si>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</si>
  <si>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</si>
  <si>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</si>
  <si>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</si>
  <si>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</si>
  <si>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</si>
  <si>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</si>
  <si>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</si>
  <si>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</si>
  <si>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</si>
  <si>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</si>
  <si>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</si>
  <si>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</si>
  <si>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</si>
  <si>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</si>
  <si>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</si>
  <si>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</si>
  <si>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</si>
  <si>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</si>
  <si>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</si>
  <si>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</si>
  <si>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</si>
  <si>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</si>
  <si>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</si>
  <si>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</si>
  <si>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</si>
  <si>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</si>
  <si>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</si>
  <si>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</si>
  <si>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</si>
  <si>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</si>
  <si>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</si>
  <si>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</si>
  <si>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</si>
  <si>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</si>
  <si>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</si>
  <si>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</si>
  <si>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</si>
  <si>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</si>
  <si>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</si>
  <si>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</si>
  <si>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</si>
  <si>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</si>
  <si>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</si>
  <si>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</si>
  <si>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</si>
  <si>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</si>
  <si>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</si>
  <si>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</si>
  <si>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</si>
  <si>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</si>
  <si>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</si>
  <si>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</si>
  <si>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</si>
  <si>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</si>
  <si>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</si>
  <si>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</si>
  <si>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</si>
  <si>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</si>
  <si>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</si>
  <si>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</si>
  <si>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</si>
  <si>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</si>
  <si>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</si>
  <si>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</si>
  <si>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</si>
  <si>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</si>
  <si>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</si>
  <si>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</si>
  <si>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</si>
  <si>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</si>
  <si>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</si>
  <si>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</si>
  <si>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</si>
  <si>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</si>
  <si>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</si>
  <si>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</si>
  <si>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</si>
  <si>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</si>
  <si>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</si>
  <si>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</si>
  <si>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</si>
  <si>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</si>
  <si>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</si>
  <si>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</si>
  <si>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</si>
  <si>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</si>
  <si>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</si>
  <si>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</si>
  <si>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</si>
  <si>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</si>
  <si>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</si>
  <si>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</si>
  <si>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</si>
  <si>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</si>
  <si>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</si>
  <si>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</si>
  <si>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</si>
  <si>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</si>
  <si>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</si>
  <si>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</si>
  <si>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</si>
  <si>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</si>
  <si>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</si>
  <si>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</si>
  <si>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</si>
  <si>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</si>
  <si>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</si>
  <si>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</si>
  <si>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</si>
  <si>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</si>
  <si>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</si>
  <si>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</si>
  <si>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</si>
  <si>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</si>
  <si>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</si>
  <si>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</si>
  <si>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</si>
  <si>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</si>
  <si>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</si>
  <si>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</si>
  <si>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</si>
  <si>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</si>
  <si>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</si>
  <si>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</si>
  <si>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</si>
  <si>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</si>
  <si>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</si>
  <si>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</si>
  <si>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</si>
  <si>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</si>
  <si>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</si>
  <si>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</si>
  <si>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</si>
  <si>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</si>
  <si>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</si>
  <si>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</si>
  <si>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</si>
  <si>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</si>
  <si>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</si>
  <si>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</si>
  <si>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</si>
  <si>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</si>
  <si>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</si>
  <si>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</si>
  <si>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</si>
  <si>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</si>
  <si>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</si>
  <si>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</si>
  <si>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</si>
  <si>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</si>
  <si>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</si>
  <si>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</si>
  <si>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</si>
  <si>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</si>
  <si>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</si>
  <si>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</si>
  <si>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</si>
  <si>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</si>
  <si>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</si>
  <si>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</si>
  <si>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</si>
  <si>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</si>
  <si>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</si>
  <si>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</si>
  <si>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</si>
  <si>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</si>
  <si>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</si>
  <si>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</si>
  <si>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</si>
  <si>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</si>
  <si>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</si>
  <si>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</si>
  <si>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</si>
  <si>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</si>
  <si>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</si>
  <si>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</si>
  <si>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</si>
  <si>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</si>
  <si>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</si>
  <si>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</si>
  <si>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</si>
  <si>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</si>
  <si>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</si>
  <si>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</si>
  <si>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</si>
  <si>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</si>
  <si>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</si>
  <si>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</si>
  <si>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</si>
  <si>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</si>
  <si>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</si>
  <si>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</si>
  <si>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</si>
  <si>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</si>
  <si>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</si>
  <si>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</si>
  <si>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</si>
  <si>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</si>
  <si>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</si>
  <si>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</si>
  <si>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</si>
  <si>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</si>
  <si>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</si>
  <si>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</si>
  <si>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</si>
  <si>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</si>
  <si>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</si>
  <si>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</si>
  <si>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</si>
  <si>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</si>
  <si>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</si>
  <si>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</si>
  <si>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</si>
  <si>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</si>
  <si>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</si>
  <si>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</si>
  <si>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</si>
  <si>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</si>
  <si>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</si>
  <si>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</si>
  <si>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</si>
  <si>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</si>
  <si>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</si>
  <si>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</si>
  <si>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</si>
  <si>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</si>
  <si>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</si>
  <si>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</si>
  <si>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</si>
  <si>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</si>
  <si>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</si>
  <si>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</si>
  <si>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</si>
  <si>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</si>
  <si>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</si>
  <si>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</si>
  <si>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</si>
  <si>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</si>
  <si>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</si>
  <si>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</si>
  <si>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</si>
  <si>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</si>
  <si>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</si>
  <si>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</si>
  <si>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</si>
  <si>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</si>
  <si>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</si>
  <si>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</si>
  <si>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</si>
  <si>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</si>
  <si>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</si>
  <si>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</si>
  <si>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</si>
  <si>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</si>
  <si>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</si>
  <si>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</si>
  <si>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</si>
  <si>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</si>
  <si>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</si>
  <si>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</si>
  <si>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</si>
  <si>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</si>
  <si>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</si>
  <si>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</si>
  <si>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</si>
  <si>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</si>
  <si>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</si>
  <si>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</si>
  <si>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</si>
  <si>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</si>
  <si>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</si>
  <si>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</si>
  <si>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</si>
  <si>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</si>
  <si>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</si>
  <si>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</si>
  <si>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</si>
  <si>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</si>
  <si>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</si>
  <si>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</si>
  <si>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</si>
  <si>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</si>
  <si>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</si>
  <si>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</si>
  <si>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</si>
  <si>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</si>
  <si>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</si>
  <si>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</si>
  <si>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</si>
  <si>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</si>
  <si>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</si>
  <si>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</si>
  <si>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</si>
  <si>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</si>
  <si>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</si>
  <si>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</si>
  <si>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</si>
  <si>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</si>
  <si>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</si>
  <si>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</si>
  <si>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</si>
  <si>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</si>
  <si>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</si>
  <si>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</si>
  <si>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</si>
  <si>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</si>
  <si>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</si>
  <si>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</si>
  <si>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</si>
  <si>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</si>
  <si>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</si>
  <si>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</si>
  <si>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</si>
  <si>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</si>
  <si>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</si>
  <si>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</si>
  <si>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</si>
  <si>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</si>
  <si>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</si>
  <si>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</si>
  <si>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</si>
  <si>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</si>
  <si>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</si>
  <si>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</si>
  <si>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</si>
  <si>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</si>
  <si>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</si>
  <si>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</si>
  <si>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</si>
  <si>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</si>
  <si>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</si>
  <si>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</si>
  <si>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</si>
  <si>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</si>
  <si>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</si>
  <si>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</si>
  <si>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</si>
  <si>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</si>
  <si>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</si>
  <si>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</si>
  <si>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</si>
  <si>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</si>
  <si>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</si>
  <si>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</si>
  <si>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</si>
  <si>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</si>
  <si>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</si>
  <si>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</si>
  <si>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</si>
  <si>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</si>
  <si>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</si>
  <si>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</si>
  <si>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</si>
  <si>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</si>
  <si>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</si>
  <si>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</si>
  <si>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</si>
  <si>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</si>
  <si>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</si>
  <si>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</si>
  <si>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</si>
  <si>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</si>
  <si>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</si>
  <si>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</si>
  <si>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</si>
  <si>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</si>
  <si>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</si>
  <si>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</si>
  <si>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</si>
  <si>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</si>
  <si>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</si>
  <si>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</si>
  <si>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</si>
  <si>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</si>
  <si>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</si>
  <si>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</si>
  <si>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</si>
  <si>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</si>
  <si>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</si>
  <si>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</si>
  <si>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</si>
  <si>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</si>
  <si>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</si>
  <si>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</si>
  <si>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</si>
  <si>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</si>
  <si>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</si>
  <si>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</si>
  <si>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</si>
  <si>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</si>
  <si>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</si>
  <si>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</si>
  <si>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</si>
  <si>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</si>
  <si>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</si>
  <si>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</si>
  <si>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</si>
  <si>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</si>
  <si>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</si>
  <si>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</si>
  <si>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</si>
  <si>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</si>
  <si>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</si>
  <si>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</si>
  <si>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</si>
  <si>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</si>
  <si>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</si>
  <si>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</si>
  <si>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</si>
  <si>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</si>
  <si>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</si>
  <si>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</si>
  <si>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</si>
  <si>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</si>
  <si>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</si>
  <si>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</si>
  <si>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</si>
  <si>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</si>
  <si>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</si>
  <si>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</si>
  <si>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</si>
  <si>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</si>
  <si>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</si>
  <si>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</si>
  <si>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</si>
  <si>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</si>
  <si>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</si>
  <si>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</si>
  <si>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</si>
  <si>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</si>
  <si>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</si>
  <si>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</si>
  <si>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</si>
  <si>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</si>
  <si>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</si>
  <si>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</si>
  <si>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</si>
  <si>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</si>
  <si>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</si>
  <si>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</si>
  <si>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</si>
  <si>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</si>
  <si>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</si>
  <si>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</si>
  <si>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</si>
  <si>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</si>
  <si>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</si>
  <si>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</si>
  <si>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</si>
  <si>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</si>
  <si>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</si>
  <si>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</si>
  <si>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</si>
  <si>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</si>
  <si>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</si>
  <si>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</si>
  <si>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</si>
  <si>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</si>
  <si>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</si>
  <si>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</si>
  <si>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</si>
  <si>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</si>
  <si>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</si>
  <si>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</si>
  <si>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</si>
  <si>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</si>
  <si>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</si>
  <si>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</si>
  <si>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</si>
  <si>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</si>
  <si>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</si>
  <si>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</si>
  <si>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</si>
  <si>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</si>
  <si>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</si>
  <si>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</si>
  <si>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</si>
  <si>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</si>
  <si>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</si>
  <si>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</si>
  <si>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</si>
  <si>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</si>
  <si>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</si>
  <si>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</si>
  <si>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</si>
  <si>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</si>
  <si>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</si>
  <si>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</si>
  <si>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</si>
  <si>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</si>
  <si>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</si>
  <si>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</si>
  <si>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</si>
  <si>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</si>
  <si>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</si>
  <si>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</si>
  <si>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</si>
  <si>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</si>
  <si>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</si>
  <si>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</si>
  <si>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</si>
  <si>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</si>
  <si>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</si>
  <si>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</si>
  <si>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</si>
  <si>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</si>
  <si>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</si>
  <si>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</si>
  <si>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</si>
  <si>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</si>
  <si>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</si>
  <si>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</si>
  <si>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</si>
  <si>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</si>
  <si>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</si>
  <si>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</si>
  <si>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</si>
  <si>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</si>
  <si>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</si>
  <si>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</si>
  <si>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</si>
  <si>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</si>
  <si>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</si>
  <si>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</si>
  <si>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</si>
  <si>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</si>
  <si>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</si>
  <si>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</si>
  <si>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</si>
  <si>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</si>
  <si>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</si>
  <si>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</si>
  <si>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</si>
  <si>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</si>
  <si>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</si>
  <si>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</si>
  <si>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</si>
  <si>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</si>
  <si>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</si>
  <si>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</si>
  <si>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</si>
  <si>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</si>
  <si>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</si>
  <si>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</si>
  <si>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</si>
  <si>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</si>
  <si>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</si>
  <si>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</si>
  <si>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</si>
  <si>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</si>
  <si>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</si>
  <si>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</si>
  <si>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</si>
  <si>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</si>
  <si>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</si>
  <si>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</si>
  <si>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</si>
  <si>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</si>
  <si>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</si>
  <si>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</si>
  <si>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</si>
  <si>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</si>
  <si>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</si>
  <si>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</si>
  <si>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</si>
  <si>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</si>
  <si>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</si>
  <si>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</si>
  <si>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</si>
  <si>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</si>
  <si>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</si>
  <si>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</si>
  <si>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</si>
  <si>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</si>
  <si>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</si>
  <si>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</si>
  <si>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</si>
  <si>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</si>
  <si>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</si>
  <si>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</si>
  <si>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</si>
  <si>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</si>
  <si>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</si>
  <si>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</si>
  <si>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</si>
  <si>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</si>
  <si>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</si>
  <si>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</si>
  <si>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</si>
  <si>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</si>
  <si>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</si>
  <si>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</si>
  <si>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</si>
  <si>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</si>
  <si>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</si>
  <si>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</si>
  <si>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</si>
  <si>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</si>
  <si>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</si>
  <si>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</si>
  <si>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</si>
  <si>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</si>
  <si>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</si>
  <si>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</si>
  <si>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</si>
  <si>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</si>
  <si>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</si>
  <si>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</si>
  <si>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</si>
  <si>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</si>
  <si>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</si>
  <si>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</si>
  <si>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</si>
  <si>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</si>
  <si>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</si>
  <si>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</si>
  <si>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</si>
  <si>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</si>
  <si>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</si>
  <si>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</si>
  <si>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</si>
  <si>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</si>
  <si>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</si>
  <si>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</si>
  <si>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</si>
  <si>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</si>
  <si>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</si>
  <si>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</si>
  <si>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</si>
  <si>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</si>
  <si>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</si>
  <si>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</si>
  <si>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</si>
  <si>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</si>
  <si>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</si>
  <si>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</si>
  <si>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</si>
  <si>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</si>
  <si>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</si>
  <si>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</si>
  <si>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</si>
  <si>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</si>
  <si>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</si>
  <si>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</si>
  <si>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</si>
  <si>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</si>
  <si>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</si>
  <si>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</si>
  <si>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</si>
  <si>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</si>
  <si>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</si>
  <si>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</si>
  <si>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</si>
  <si>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</si>
  <si>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</si>
  <si>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</si>
  <si>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</si>
  <si>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</si>
  <si>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</si>
  <si>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</si>
  <si>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</si>
  <si>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</si>
  <si>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</si>
  <si>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</si>
  <si>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</si>
  <si>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</si>
  <si>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</si>
  <si>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</si>
  <si>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</si>
  <si>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</si>
  <si>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</si>
  <si>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</si>
  <si>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</si>
  <si>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</si>
  <si>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</si>
  <si>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</si>
  <si>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</si>
  <si>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</si>
  <si>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</si>
  <si>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</si>
  <si>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</si>
  <si>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</si>
  <si>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</si>
  <si>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</si>
  <si>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</si>
  <si>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</si>
  <si>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</si>
  <si>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</si>
  <si>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</si>
  <si>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</si>
  <si>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</si>
  <si>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</si>
  <si>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</si>
  <si>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</si>
  <si>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</si>
  <si>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</si>
  <si>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</si>
  <si>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</si>
  <si>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</si>
  <si>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</si>
  <si>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</si>
  <si>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</si>
  <si>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</si>
  <si>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</si>
  <si>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</si>
  <si>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</si>
  <si>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</si>
  <si>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</si>
  <si>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</si>
  <si>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</si>
  <si>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</si>
  <si>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</si>
  <si>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</si>
  <si>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</si>
  <si>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</si>
  <si>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</si>
  <si>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</si>
  <si>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</si>
  <si>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</si>
  <si>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</si>
  <si>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</si>
  <si>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</si>
  <si>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</si>
  <si>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</si>
  <si>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</si>
  <si>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</si>
  <si>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</si>
  <si>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</si>
  <si>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</si>
  <si>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</si>
  <si>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</si>
  <si>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</si>
  <si>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</si>
  <si>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</si>
  <si>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</si>
  <si>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</si>
  <si>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</si>
  <si>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</si>
  <si>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</si>
  <si>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</si>
  <si>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</si>
  <si>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</si>
  <si>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</si>
  <si>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</si>
  <si>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</si>
  <si>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</si>
  <si>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</si>
  <si>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</si>
  <si>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</si>
  <si>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</si>
  <si>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</si>
  <si>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</si>
  <si>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</si>
  <si>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</si>
  <si>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</si>
  <si>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</si>
  <si>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</si>
  <si>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</si>
  <si>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</si>
  <si>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</si>
  <si>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</si>
  <si>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</si>
  <si>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</si>
  <si>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</si>
  <si>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</si>
  <si>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</si>
  <si>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</si>
  <si>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</si>
  <si>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</si>
  <si>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</si>
  <si>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</si>
  <si>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</si>
  <si>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</si>
  <si>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</si>
  <si>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</si>
  <si>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</si>
  <si>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</si>
  <si>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</si>
  <si>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</si>
  <si>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</si>
  <si>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</si>
  <si>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</si>
  <si>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</si>
  <si>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</si>
  <si>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</si>
  <si>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</si>
  <si>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</si>
  <si>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</si>
  <si>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</si>
  <si>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</si>
  <si>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</si>
  <si>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</si>
  <si>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</si>
  <si>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</si>
  <si>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</si>
  <si>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</si>
  <si>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</si>
  <si>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</si>
  <si>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</si>
  <si>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</si>
  <si>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</si>
  <si>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</si>
  <si>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</si>
  <si>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</si>
  <si>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</si>
  <si>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</si>
  <si>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</si>
  <si>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</si>
  <si>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</si>
  <si>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</si>
  <si>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</si>
  <si>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</si>
  <si>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</si>
  <si>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</si>
  <si>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</si>
  <si>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</si>
  <si>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</si>
  <si>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</si>
  <si>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</si>
  <si>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</si>
  <si>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</si>
  <si>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</si>
  <si>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</si>
  <si>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</si>
  <si>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</si>
  <si>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</si>
  <si>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</si>
  <si>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</si>
  <si>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</si>
  <si>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</si>
  <si>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</si>
  <si>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</si>
  <si>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</si>
  <si>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</si>
  <si>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</si>
  <si>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</si>
  <si>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</si>
  <si>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</si>
  <si>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</si>
  <si>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</si>
  <si>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</si>
  <si>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</si>
  <si>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</si>
  <si>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</si>
  <si>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</si>
  <si>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</si>
  <si>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</si>
  <si>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</si>
  <si>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</si>
  <si>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</si>
  <si>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</si>
  <si>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</si>
  <si>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</si>
  <si>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</si>
  <si>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</si>
  <si>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</si>
  <si>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</si>
  <si>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</si>
  <si>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</si>
  <si>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</si>
  <si>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</si>
  <si>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</si>
  <si>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</si>
  <si>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</si>
  <si>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</si>
  <si>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</si>
  <si>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</si>
  <si>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</si>
  <si>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</si>
  <si>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</si>
  <si>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</si>
  <si>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</si>
  <si>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</si>
  <si>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</si>
  <si>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</si>
  <si>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</si>
  <si>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</si>
  <si>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</si>
  <si>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</si>
  <si>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</si>
  <si>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</si>
  <si>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</si>
  <si>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</si>
  <si>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</si>
  <si>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</si>
  <si>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</si>
  <si>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</si>
  <si>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</si>
  <si>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</si>
  <si>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</si>
  <si>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</si>
  <si>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</si>
  <si>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</si>
  <si>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</si>
  <si>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</si>
  <si>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</si>
  <si>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</si>
  <si>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</si>
  <si>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</si>
  <si>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</si>
  <si>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</si>
  <si>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</si>
  <si>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</si>
  <si>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</si>
  <si>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</si>
  <si>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</si>
  <si>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</si>
  <si>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</si>
  <si>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</si>
  <si>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</si>
  <si>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</si>
  <si>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</si>
  <si>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</si>
  <si>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</si>
  <si>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</si>
  <si>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</si>
  <si>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</si>
  <si>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</si>
  <si>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</si>
  <si>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</si>
  <si>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</si>
  <si>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</si>
  <si>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</si>
  <si>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</si>
  <si>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</si>
  <si>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</si>
  <si>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</si>
  <si>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</si>
  <si>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</si>
  <si>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</si>
  <si>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</si>
  <si>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</si>
  <si>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</si>
  <si>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</si>
  <si>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</si>
  <si>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</si>
  <si>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</si>
  <si>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</si>
  <si>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</si>
  <si>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</si>
  <si>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</si>
  <si>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</si>
  <si>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</si>
  <si>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</si>
  <si>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</si>
  <si>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</si>
  <si>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</si>
  <si>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</si>
  <si>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</si>
  <si>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</si>
  <si>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</si>
  <si>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</si>
  <si>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</si>
  <si>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</si>
  <si>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</si>
  <si>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</si>
  <si>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</si>
  <si>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</si>
  <si>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</si>
  <si>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</si>
  <si>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</si>
  <si>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</si>
  <si>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</si>
  <si>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</si>
  <si>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</si>
  <si>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</si>
  <si>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</si>
  <si>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</si>
  <si>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</si>
  <si>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</si>
  <si>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</si>
  <si>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</si>
  <si>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</si>
  <si>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</si>
  <si>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</si>
  <si>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</si>
  <si>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</si>
  <si>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</si>
  <si>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</si>
  <si>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</si>
  <si>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</si>
  <si>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</si>
  <si>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</si>
  <si>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</si>
  <si>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</si>
  <si>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</si>
  <si>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</si>
  <si>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</si>
  <si>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</si>
  <si>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</si>
  <si>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</si>
  <si>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</si>
  <si>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</si>
  <si>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</si>
  <si>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</si>
  <si>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</si>
  <si>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</si>
  <si>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</si>
  <si>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</si>
  <si>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</si>
  <si>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</si>
  <si>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</si>
  <si>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</si>
  <si>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</si>
  <si>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</si>
  <si>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</si>
  <si>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</si>
  <si>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</si>
  <si>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</si>
  <si>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</si>
  <si>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</si>
  <si>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</si>
  <si>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</si>
  <si>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</si>
  <si>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</si>
  <si>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</si>
  <si>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</si>
  <si>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</si>
  <si>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</si>
  <si>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</si>
  <si>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</si>
  <si>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</si>
  <si>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</si>
  <si>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</si>
  <si>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</si>
  <si>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</si>
  <si>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</si>
  <si>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</si>
  <si>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</si>
  <si>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</si>
  <si>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</si>
  <si>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</si>
  <si>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</si>
  <si>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</si>
  <si>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</si>
  <si>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</si>
  <si>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</si>
  <si>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</si>
  <si>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</si>
  <si>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</si>
  <si>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</si>
  <si>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</si>
  <si>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</si>
  <si>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</si>
  <si>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</si>
  <si>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</si>
  <si>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</si>
  <si>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</si>
  <si>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</si>
  <si>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</si>
  <si>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</si>
  <si>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</si>
  <si>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</si>
  <si>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</si>
  <si>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</si>
  <si>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</si>
  <si>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</si>
  <si>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</si>
  <si>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</si>
  <si>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</si>
  <si>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</si>
  <si>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</si>
  <si>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</si>
  <si>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</si>
  <si>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</si>
  <si>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</si>
  <si>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</si>
  <si>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</si>
  <si>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</si>
  <si>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</si>
  <si>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</si>
  <si>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</si>
  <si>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</si>
  <si>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</si>
  <si>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</si>
  <si>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</si>
  <si>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</si>
  <si>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</si>
  <si>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</si>
  <si>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</si>
  <si>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</si>
  <si>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</si>
  <si>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</si>
  <si>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</si>
  <si>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</si>
  <si>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</si>
  <si>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</si>
  <si>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</si>
  <si>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</si>
  <si>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</si>
  <si>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</si>
  <si>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</si>
  <si>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</si>
  <si>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</si>
  <si>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</si>
  <si>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</si>
  <si>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</si>
  <si>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</si>
  <si>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</si>
  <si>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</si>
  <si>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</si>
  <si>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</si>
  <si>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</si>
  <si>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</si>
  <si>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</si>
  <si>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</si>
  <si>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</si>
  <si>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</si>
  <si>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</si>
  <si>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</si>
  <si>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</si>
  <si>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</si>
  <si>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</si>
  <si>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</si>
  <si>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</si>
  <si>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</si>
  <si>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</si>
  <si>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</si>
  <si>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</si>
  <si>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</si>
  <si>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</si>
  <si>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</si>
  <si>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</si>
  <si>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</si>
  <si>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</si>
  <si>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</si>
  <si>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</si>
  <si>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</si>
  <si>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</si>
  <si>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</si>
  <si>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</si>
  <si>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</si>
  <si>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</si>
  <si>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</si>
  <si>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</si>
  <si>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</si>
  <si>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</si>
  <si>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</si>
  <si>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</si>
  <si>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</si>
  <si>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</si>
  <si>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</si>
  <si>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</si>
  <si>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</si>
  <si>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</si>
  <si>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</si>
  <si>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</si>
  <si>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</si>
  <si>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</si>
  <si>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</si>
  <si>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</si>
  <si>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</si>
  <si>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</si>
  <si>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</si>
  <si>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</si>
  <si>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</si>
  <si>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</si>
  <si>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</si>
  <si>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</si>
  <si>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</si>
  <si>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</si>
  <si>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</si>
  <si>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</si>
  <si>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</si>
  <si>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</si>
  <si>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</si>
  <si>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</si>
  <si>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</si>
  <si>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</si>
  <si>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</si>
  <si>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</si>
  <si>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</si>
  <si>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</si>
  <si>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</si>
  <si>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</si>
  <si>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</si>
  <si>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</si>
  <si>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</si>
  <si>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</si>
  <si>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</si>
  <si>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</si>
  <si>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</si>
  <si>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</si>
  <si>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</si>
  <si>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</si>
  <si>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</si>
  <si>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</si>
  <si>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</si>
  <si>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</si>
  <si>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</si>
  <si>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</si>
  <si>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</si>
  <si>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</si>
  <si>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</si>
  <si>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</si>
  <si>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</si>
  <si>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</si>
  <si>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</si>
  <si>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</si>
  <si>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</si>
  <si>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</si>
  <si>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</si>
  <si>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</si>
  <si>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</si>
  <si>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</si>
  <si>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</si>
  <si>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</si>
  <si>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</si>
  <si>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</si>
  <si>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</si>
  <si>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</si>
  <si>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</si>
  <si>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</si>
  <si>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</si>
  <si>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</si>
  <si>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</si>
  <si>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</si>
  <si>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</si>
  <si>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</si>
  <si>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</si>
  <si>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</si>
  <si>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</si>
  <si>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</si>
  <si>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</si>
  <si>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</si>
  <si>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</si>
  <si>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</si>
  <si>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</si>
  <si>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</si>
  <si>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</si>
  <si>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</si>
  <si>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</si>
  <si>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</si>
  <si>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</si>
  <si>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</si>
  <si>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</si>
  <si>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</si>
  <si>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</si>
  <si>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</si>
  <si>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</si>
  <si>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</si>
  <si>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</si>
  <si>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</si>
  <si>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</si>
  <si>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</si>
  <si>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</si>
  <si>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</si>
  <si>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</si>
  <si>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</si>
  <si>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</si>
  <si>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</si>
  <si>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</si>
  <si>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</si>
  <si>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</si>
  <si>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</si>
  <si>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</si>
  <si>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</si>
  <si>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</si>
  <si>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</si>
  <si>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</si>
  <si>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</si>
  <si>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</si>
  <si>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</si>
  <si>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</si>
  <si>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</si>
  <si>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</si>
  <si>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</si>
  <si>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</si>
  <si>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</si>
  <si>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</si>
  <si>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</si>
  <si>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</si>
  <si>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</si>
  <si>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</si>
  <si>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</si>
  <si>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</si>
  <si>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</si>
  <si>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</si>
  <si>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</si>
  <si>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</si>
  <si>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</si>
  <si>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</si>
  <si>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</si>
  <si>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</si>
  <si>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</si>
  <si>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</si>
  <si>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</si>
  <si>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</si>
  <si>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</si>
  <si>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</si>
  <si>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</si>
  <si>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</si>
  <si>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</si>
  <si>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</si>
  <si>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</si>
  <si>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</si>
  <si>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</si>
  <si>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</si>
  <si>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</si>
  <si>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</si>
  <si>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</si>
  <si>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</si>
  <si>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</si>
  <si>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</si>
  <si>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</si>
  <si>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</si>
  <si>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</si>
  <si>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</si>
  <si>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</si>
  <si>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</si>
  <si>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</si>
  <si>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</si>
  <si>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</si>
  <si>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</si>
  <si>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</si>
  <si>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</si>
  <si>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</si>
  <si>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</si>
  <si>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</si>
  <si>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</si>
  <si>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</si>
  <si>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</si>
  <si>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</si>
  <si>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</si>
  <si>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</si>
  <si>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</si>
  <si>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</si>
  <si>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</si>
  <si>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</si>
  <si>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</si>
  <si>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</si>
  <si>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</si>
  <si>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</si>
  <si>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</si>
  <si>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</si>
  <si>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</si>
  <si>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</si>
  <si>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</si>
  <si>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</si>
  <si>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</si>
  <si>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</si>
  <si>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</si>
  <si>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</si>
  <si>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</si>
  <si>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</si>
  <si>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</si>
  <si>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</si>
  <si>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</si>
  <si>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</si>
  <si>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</si>
  <si>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</si>
  <si>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</si>
  <si>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</si>
  <si>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</si>
  <si>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</si>
  <si>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</si>
  <si>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</si>
  <si>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</si>
  <si>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</si>
  <si>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</si>
  <si>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</si>
  <si>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</si>
  <si>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</si>
  <si>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</si>
  <si>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</si>
  <si>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</si>
  <si>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</si>
  <si>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</si>
  <si>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</si>
  <si>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</si>
  <si>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</si>
  <si>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</si>
  <si>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</si>
  <si>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</si>
  <si>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</si>
  <si>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</si>
  <si>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</si>
  <si>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</si>
  <si>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</si>
  <si>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</si>
  <si>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</si>
  <si>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</si>
  <si>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</si>
  <si>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</si>
  <si>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</si>
  <si>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</si>
  <si>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</si>
  <si>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</si>
  <si>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</si>
  <si>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</si>
  <si>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</si>
  <si>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</si>
  <si>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</si>
  <si>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</si>
  <si>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</si>
  <si>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</si>
  <si>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</si>
  <si>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</si>
  <si>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</si>
  <si>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</si>
  <si>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</si>
  <si>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</si>
  <si>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</si>
  <si>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</si>
  <si>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</si>
  <si>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</si>
  <si>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</si>
  <si>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</si>
  <si>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</si>
  <si>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</si>
  <si>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</si>
  <si>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</si>
  <si>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</si>
  <si>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</si>
  <si>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</si>
  <si>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</si>
  <si>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</si>
  <si>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</si>
  <si>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</si>
  <si>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</si>
  <si>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</si>
  <si>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</si>
  <si>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</si>
  <si>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</si>
  <si>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</si>
  <si>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</si>
  <si>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</si>
  <si>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</si>
  <si>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</si>
  <si>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</si>
  <si>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</si>
  <si>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</si>
  <si>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</si>
  <si>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</si>
  <si>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</si>
  <si>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</si>
  <si>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</si>
  <si>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</si>
  <si>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</si>
  <si>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</si>
  <si>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</si>
  <si>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</si>
  <si>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</si>
  <si>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</si>
  <si>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</si>
  <si>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</si>
  <si>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</si>
  <si>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</si>
  <si>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</si>
  <si>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</si>
  <si>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</si>
  <si>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</si>
  <si>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</si>
  <si>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</si>
  <si>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</si>
  <si>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</si>
  <si>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</si>
  <si>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</si>
  <si>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</si>
  <si>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</si>
  <si>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</si>
  <si>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</si>
  <si>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</si>
  <si>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</si>
  <si>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</si>
  <si>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</si>
  <si>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</si>
  <si>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</si>
  <si>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</si>
  <si>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</si>
  <si>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</si>
  <si>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</si>
  <si>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</si>
  <si>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</si>
  <si>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</si>
  <si>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</si>
  <si>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</si>
  <si>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</si>
  <si>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</si>
  <si>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</si>
  <si>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</si>
  <si>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</si>
  <si>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</si>
  <si>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</si>
  <si>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</si>
  <si>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</si>
  <si>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</si>
  <si>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</si>
  <si>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</si>
  <si>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</si>
  <si>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</si>
  <si>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</si>
  <si>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</si>
  <si>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</si>
  <si>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</si>
  <si>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</si>
  <si>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</si>
  <si>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</si>
  <si>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</si>
  <si>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</si>
  <si>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</si>
  <si>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</si>
  <si>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</si>
  <si>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</si>
  <si>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</si>
  <si>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</si>
  <si>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</si>
  <si>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</si>
  <si>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</si>
  <si>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</si>
  <si>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</si>
  <si>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</si>
  <si>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</si>
  <si>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</si>
  <si>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</si>
  <si>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</si>
  <si>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</si>
  <si>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</si>
  <si>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</si>
  <si>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</si>
  <si>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</si>
  <si>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</si>
  <si>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</si>
  <si>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</si>
  <si>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</si>
  <si>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</si>
  <si>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</si>
  <si>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</si>
  <si>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</si>
  <si>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</si>
  <si>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</si>
  <si>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</si>
  <si>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</si>
  <si>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</si>
  <si>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</si>
  <si>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</si>
  <si>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</si>
  <si>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</si>
  <si>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</si>
  <si>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</si>
  <si>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</si>
  <si>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</si>
  <si>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</si>
  <si>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</si>
  <si>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</si>
  <si>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</si>
  <si>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</si>
  <si>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</si>
  <si>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</si>
  <si>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</si>
  <si>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</si>
  <si>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</si>
  <si>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</si>
  <si>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</si>
  <si>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</si>
  <si>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</si>
  <si>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</si>
  <si>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</si>
  <si>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</si>
  <si>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</si>
  <si>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</si>
  <si>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</si>
  <si>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</si>
  <si>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</si>
  <si>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</si>
  <si>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</si>
  <si>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</si>
  <si>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</si>
  <si>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</si>
  <si>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</si>
  <si>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</si>
  <si>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</si>
  <si>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</si>
  <si>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</si>
  <si>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</si>
  <si>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</si>
  <si>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</si>
  <si>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</si>
  <si>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</si>
  <si>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</si>
  <si>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</si>
  <si>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</si>
  <si>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</si>
  <si>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</si>
  <si>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</si>
  <si>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</si>
  <si>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</si>
  <si>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</si>
  <si>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</si>
  <si>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</si>
  <si>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</si>
  <si>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</si>
  <si>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</si>
  <si>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</si>
  <si>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</si>
  <si>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</si>
  <si>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</si>
  <si>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</si>
  <si>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</si>
  <si>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</si>
  <si>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</si>
  <si>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</si>
  <si>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</si>
  <si>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</si>
  <si>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</si>
  <si>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</si>
  <si>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</si>
  <si>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</si>
  <si>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</si>
  <si>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</si>
  <si>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</si>
  <si>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</si>
  <si>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</si>
  <si>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</si>
  <si>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</si>
  <si>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</si>
  <si>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</si>
  <si>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</si>
  <si>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</si>
  <si>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</si>
  <si>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</si>
  <si>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</si>
  <si>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</si>
  <si>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</si>
  <si>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</si>
  <si>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</si>
  <si>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</si>
  <si>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</si>
  <si>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</si>
  <si>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</si>
  <si>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</si>
  <si>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</si>
  <si>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</si>
  <si>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</si>
  <si>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</si>
  <si>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</si>
  <si>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</si>
  <si>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</si>
  <si>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</si>
  <si>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</si>
  <si>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</si>
  <si>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</si>
  <si>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</si>
  <si>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</si>
  <si>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</si>
  <si>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</si>
  <si>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</si>
  <si>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</si>
  <si>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</si>
  <si>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</si>
  <si>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</si>
  <si>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</si>
  <si>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</si>
  <si>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</si>
  <si>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</si>
  <si>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</si>
  <si>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</si>
  <si>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</si>
  <si>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</si>
  <si>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</si>
  <si>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</si>
  <si>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</si>
  <si>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</si>
  <si>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</si>
  <si>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</si>
  <si>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</si>
  <si>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</si>
  <si>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</si>
  <si>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</si>
  <si>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</si>
  <si>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</si>
  <si>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</si>
  <si>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</si>
  <si>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</si>
  <si>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</si>
  <si>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</si>
  <si>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</si>
  <si>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</si>
  <si>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</si>
  <si>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</si>
  <si>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</si>
  <si>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</si>
  <si>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</si>
  <si>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</si>
  <si>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</si>
  <si>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</si>
  <si>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</si>
  <si>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</si>
  <si>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</si>
  <si>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</si>
  <si>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</si>
  <si>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</si>
  <si>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</si>
  <si>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</si>
  <si>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</si>
  <si>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</si>
  <si>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</si>
  <si>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</si>
  <si>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</si>
  <si>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</si>
  <si>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</si>
  <si>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</si>
  <si>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</si>
  <si>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</si>
  <si>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</si>
  <si>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</si>
  <si>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</si>
  <si>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</si>
  <si>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</si>
  <si>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</si>
  <si>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</si>
  <si>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</si>
  <si>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</si>
  <si>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</si>
  <si>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</si>
  <si>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</si>
  <si>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</si>
  <si>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</si>
  <si>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</si>
  <si>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</si>
  <si>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</si>
  <si>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</si>
  <si>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</si>
  <si>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</si>
  <si>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</si>
  <si>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</si>
  <si>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</si>
  <si>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</si>
  <si>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</si>
  <si>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</si>
  <si>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</si>
  <si>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</si>
  <si>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</si>
  <si>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</si>
  <si>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</si>
  <si>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</si>
  <si>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</si>
  <si>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</si>
  <si>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</si>
  <si>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</si>
  <si>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</si>
  <si>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</si>
  <si>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</si>
  <si>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</si>
  <si>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</si>
  <si>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</si>
  <si>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</si>
  <si>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</si>
  <si>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</si>
  <si>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</si>
  <si>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</si>
  <si>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</si>
  <si>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</si>
  <si>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</si>
  <si>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</si>
  <si>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</si>
  <si>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</si>
  <si>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</si>
  <si>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</si>
  <si>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</si>
  <si>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</si>
  <si>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</si>
  <si>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</si>
  <si>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</si>
  <si>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</si>
  <si>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</si>
  <si>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</si>
  <si>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</si>
  <si>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</si>
  <si>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</si>
  <si>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</si>
  <si>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</si>
  <si>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</si>
  <si>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</si>
  <si>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</si>
  <si>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</si>
  <si>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</si>
  <si>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</si>
  <si>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</si>
  <si>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</si>
  <si>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</si>
  <si>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</si>
  <si>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</si>
  <si>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</si>
  <si>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</si>
  <si>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</si>
  <si>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</si>
  <si>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</si>
  <si>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</si>
  <si>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</si>
  <si>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</si>
  <si>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</si>
  <si>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</si>
  <si>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</si>
  <si>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</si>
  <si>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</si>
  <si>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</si>
  <si>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</si>
  <si>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</si>
  <si>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</si>
  <si>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</si>
  <si>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</si>
  <si>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</si>
  <si>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</si>
  <si>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</si>
  <si>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</si>
  <si>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</si>
  <si>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</si>
  <si>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</si>
  <si>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</si>
  <si>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</si>
  <si>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</si>
  <si>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</si>
  <si>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</si>
  <si>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</si>
  <si>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</si>
  <si>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</si>
  <si>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</si>
  <si>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</si>
  <si>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</si>
  <si>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</si>
  <si>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</si>
  <si>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</si>
  <si>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</si>
  <si>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</si>
  <si>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</si>
  <si>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</si>
  <si>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</si>
  <si>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</si>
  <si>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</si>
  <si>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</si>
  <si>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</si>
  <si>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</si>
  <si>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</si>
  <si>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</si>
  <si>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</si>
  <si>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</si>
  <si>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</si>
  <si>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</si>
  <si>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</si>
  <si>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</si>
  <si>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</si>
  <si>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</si>
  <si>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</si>
  <si>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</si>
  <si>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</si>
  <si>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</si>
  <si>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</si>
  <si>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</si>
  <si>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</si>
  <si>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</si>
  <si>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</si>
  <si>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</si>
  <si>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</si>
  <si>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</si>
  <si>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</si>
  <si>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</si>
  <si>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</si>
  <si>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</si>
  <si>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</si>
  <si>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</si>
  <si>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</si>
  <si>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</si>
  <si>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</si>
  <si>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</si>
  <si>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</si>
  <si>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</si>
  <si>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</si>
  <si>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</si>
  <si>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</si>
  <si>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</si>
  <si>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</si>
  <si>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</si>
  <si>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</si>
  <si>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</si>
  <si>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</si>
  <si>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</si>
  <si>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</si>
  <si>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</si>
  <si>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</si>
  <si>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</si>
  <si>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</si>
  <si>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</si>
  <si>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</si>
  <si>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</si>
  <si>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</si>
  <si>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</si>
  <si>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</si>
  <si>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</si>
  <si>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</si>
  <si>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</si>
  <si>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</si>
  <si>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</si>
  <si>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</si>
  <si>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</si>
  <si>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</si>
  <si>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</si>
  <si>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</si>
  <si>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</si>
  <si>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</si>
  <si>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</si>
  <si>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</si>
  <si>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</si>
  <si>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</si>
  <si>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</si>
  <si>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</si>
  <si>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</si>
  <si>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</si>
  <si>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</si>
  <si>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</si>
  <si>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</si>
  <si>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</si>
  <si>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</si>
  <si>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</si>
  <si>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</si>
  <si>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</si>
  <si>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</si>
  <si>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</si>
  <si>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</si>
  <si>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</si>
  <si>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</si>
  <si>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</si>
  <si>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</si>
  <si>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</si>
  <si>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</si>
  <si>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</si>
  <si>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</si>
  <si>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</si>
  <si>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</si>
  <si>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</si>
  <si>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</si>
  <si>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</si>
  <si>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</si>
  <si>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</si>
  <si>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</si>
  <si>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</si>
  <si>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</si>
  <si>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</si>
  <si>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</si>
  <si>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</si>
  <si>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</si>
  <si>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</si>
  <si>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</si>
  <si>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</si>
  <si>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</si>
  <si>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</si>
  <si>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</si>
  <si>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</si>
  <si>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</si>
  <si>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</si>
  <si>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</si>
  <si>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</si>
  <si>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</si>
  <si>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</si>
  <si>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</si>
  <si>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</si>
  <si>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</si>
  <si>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</si>
  <si>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</si>
  <si>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</si>
  <si>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</si>
  <si>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</si>
  <si>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</si>
  <si>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</si>
  <si>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</si>
  <si>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</si>
  <si>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</si>
  <si>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</si>
  <si>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</si>
  <si>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</si>
  <si>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</si>
  <si>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</si>
  <si>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</si>
  <si>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</si>
  <si>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</si>
  <si>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</si>
  <si>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</si>
  <si>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</si>
  <si>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</si>
  <si>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</si>
  <si>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</si>
  <si>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</si>
  <si>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</si>
  <si>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</si>
  <si>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</si>
  <si>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</si>
  <si>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</si>
  <si>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</si>
  <si>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</si>
  <si>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</si>
  <si>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</si>
  <si>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</si>
  <si>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</si>
  <si>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</si>
  <si>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</si>
  <si>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</si>
  <si>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</si>
  <si>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</si>
  <si>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</si>
  <si>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</si>
  <si>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</si>
  <si>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</si>
  <si>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</si>
  <si>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</si>
  <si>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</si>
  <si>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</si>
  <si>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</si>
  <si>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</si>
  <si>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</si>
  <si>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</si>
  <si>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</si>
  <si>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</si>
  <si>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</si>
  <si>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</si>
  <si>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</si>
  <si>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</si>
  <si>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</si>
  <si>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</si>
  <si>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</si>
  <si>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</si>
  <si>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</si>
  <si>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</si>
  <si>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</si>
  <si>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</si>
  <si>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</si>
  <si>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</si>
  <si>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</si>
  <si>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</si>
  <si>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</si>
  <si>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</si>
  <si>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</si>
  <si>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</si>
  <si>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</si>
  <si>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</si>
  <si>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</si>
  <si>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</si>
  <si>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</si>
  <si>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</si>
  <si>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</si>
  <si>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</si>
  <si>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</si>
  <si>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</si>
  <si>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</si>
  <si>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</si>
  <si>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</si>
  <si>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</si>
  <si>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</si>
  <si>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</si>
  <si>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</si>
  <si>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</si>
  <si>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</si>
  <si>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</si>
  <si>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Prod_id</t>
  </si>
  <si>
    <t>Ord_date</t>
  </si>
  <si>
    <t>Prod_name</t>
  </si>
  <si>
    <t>Metacritic_score</t>
  </si>
  <si>
    <t>Retail_price</t>
  </si>
  <si>
    <t>Monthly_sales</t>
  </si>
  <si>
    <t>Playtime</t>
  </si>
  <si>
    <t>Possible_discount</t>
  </si>
  <si>
    <t>Genre</t>
  </si>
  <si>
    <t>Red Omen</t>
  </si>
  <si>
    <t>Titan Carnage</t>
  </si>
  <si>
    <t>Pillage of Opportunity</t>
  </si>
  <si>
    <t>Vengeance of Trickery</t>
  </si>
  <si>
    <t>Ghosts and Command</t>
  </si>
  <si>
    <t>Duty and Control</t>
  </si>
  <si>
    <t>Farforce</t>
  </si>
  <si>
    <t>Blueborne</t>
  </si>
  <si>
    <t>Everrain</t>
  </si>
  <si>
    <t>Antilust</t>
  </si>
  <si>
    <t>Heroic Legacy</t>
  </si>
  <si>
    <t>Dark Sect</t>
  </si>
  <si>
    <t>Monsters of Nightmares</t>
  </si>
  <si>
    <t>Wizards of Sorrow</t>
  </si>
  <si>
    <t>Hand and Chronicles</t>
  </si>
  <si>
    <t>Heaven and Alchemy</t>
  </si>
  <si>
    <t>Madscape</t>
  </si>
  <si>
    <t>Bloodscape</t>
  </si>
  <si>
    <t>Chronorite</t>
  </si>
  <si>
    <t>Emberville</t>
  </si>
  <si>
    <t>Action</t>
  </si>
  <si>
    <t>Adventure</t>
  </si>
  <si>
    <t>RPG</t>
  </si>
  <si>
    <t>Infernal Faction</t>
  </si>
  <si>
    <t>Eternal Harvest</t>
  </si>
  <si>
    <t>Magic of Mythology</t>
  </si>
  <si>
    <t>Spirits of Heritage</t>
  </si>
  <si>
    <t>Enemy and Demons</t>
  </si>
  <si>
    <t>Honor and Earth</t>
  </si>
  <si>
    <t>Shardforce</t>
  </si>
  <si>
    <t>Warhunt</t>
  </si>
  <si>
    <t>Magechild</t>
  </si>
  <si>
    <t>Arcanepath</t>
  </si>
  <si>
    <t>Strategy</t>
  </si>
  <si>
    <t>Android Dynasty</t>
  </si>
  <si>
    <t>Blood Cataclysm</t>
  </si>
  <si>
    <t>Warlords of Turmoil</t>
  </si>
  <si>
    <t>Titans of Pain</t>
  </si>
  <si>
    <t>Legions and Warlords</t>
  </si>
  <si>
    <t>Tactics and Wonder</t>
  </si>
  <si>
    <t>Phantomland</t>
  </si>
  <si>
    <t>Siegefront</t>
  </si>
  <si>
    <t>Ashcommand</t>
  </si>
  <si>
    <t>Netherheart</t>
  </si>
  <si>
    <t>Ord_id</t>
  </si>
  <si>
    <t>Ord-001</t>
  </si>
  <si>
    <t>Ord-002</t>
  </si>
  <si>
    <t>Ord-003</t>
  </si>
  <si>
    <t>Ord-004</t>
  </si>
  <si>
    <t>Ord-005</t>
  </si>
  <si>
    <t>Ord-006</t>
  </si>
  <si>
    <t>Ord-007</t>
  </si>
  <si>
    <t>Ord-008</t>
  </si>
  <si>
    <t>Ord-009</t>
  </si>
  <si>
    <t>Ord-010</t>
  </si>
  <si>
    <t>Ord-011</t>
  </si>
  <si>
    <t>Ord-012</t>
  </si>
  <si>
    <t>Ord-013</t>
  </si>
  <si>
    <t>Ord-014</t>
  </si>
  <si>
    <t>Ord-015</t>
  </si>
  <si>
    <t>Ord-016</t>
  </si>
  <si>
    <t>Ord-017</t>
  </si>
  <si>
    <t>Ord-018</t>
  </si>
  <si>
    <t>Ord-019</t>
  </si>
  <si>
    <t>Ord-020</t>
  </si>
  <si>
    <t>Ord-021</t>
  </si>
  <si>
    <t>Ord-022</t>
  </si>
  <si>
    <t>Ord-023</t>
  </si>
  <si>
    <t>Ord-024</t>
  </si>
  <si>
    <t>Ord-025</t>
  </si>
  <si>
    <t>Ord-026</t>
  </si>
  <si>
    <t>Ord-027</t>
  </si>
  <si>
    <t>Ord-028</t>
  </si>
  <si>
    <t>Ord-029</t>
  </si>
  <si>
    <t>Ord-030</t>
  </si>
  <si>
    <t>Ord-031</t>
  </si>
  <si>
    <t>Ord-032</t>
  </si>
  <si>
    <t>Ord-033</t>
  </si>
  <si>
    <t>Ord-034</t>
  </si>
  <si>
    <t>Ord-035</t>
  </si>
  <si>
    <t>Ord-036</t>
  </si>
  <si>
    <t>Ord-037</t>
  </si>
  <si>
    <t>Ord-038</t>
  </si>
  <si>
    <t>Ord-039</t>
  </si>
  <si>
    <t>Ord-040</t>
  </si>
  <si>
    <t>Ord-041</t>
  </si>
  <si>
    <t>Ord-042</t>
  </si>
  <si>
    <t>Ord-043</t>
  </si>
  <si>
    <t>Ord-044</t>
  </si>
  <si>
    <t>Ord-045</t>
  </si>
  <si>
    <t>Ord-046</t>
  </si>
  <si>
    <t>Ord-047</t>
  </si>
  <si>
    <t>Ord-048</t>
  </si>
  <si>
    <t>Ord-049</t>
  </si>
  <si>
    <t>Ord-050</t>
  </si>
  <si>
    <t>Studios</t>
  </si>
  <si>
    <t>Dev_studio</t>
  </si>
  <si>
    <t>.</t>
  </si>
  <si>
    <t>Light Crow Games</t>
  </si>
  <si>
    <t>Blind Raccoon Productions</t>
  </si>
  <si>
    <t>Scary Lizard Productions</t>
  </si>
  <si>
    <t>Rare Spectre Arts</t>
  </si>
  <si>
    <t>Filthy Door Interactive</t>
  </si>
  <si>
    <t>Autotale Arts</t>
  </si>
  <si>
    <t>Winterpunch Game Studios</t>
  </si>
  <si>
    <t>Moonware Interactive</t>
  </si>
  <si>
    <t>Vagabond Interactive</t>
  </si>
  <si>
    <t>Fierce Studios</t>
  </si>
  <si>
    <t>Dapper Bull Media</t>
  </si>
  <si>
    <t>Numb Kitten Productions</t>
  </si>
  <si>
    <t>Golden Boa Interactive</t>
  </si>
  <si>
    <t>Honest Door Entertainment</t>
  </si>
  <si>
    <t>Pretty Mage Arts</t>
  </si>
  <si>
    <t>Subdomain Game Studios</t>
  </si>
  <si>
    <t>Starsoft Productions</t>
  </si>
  <si>
    <t>Thunderjam Interactive</t>
  </si>
  <si>
    <t>Thunderstorm Studios</t>
  </si>
  <si>
    <t>Dumb Luck Entertainment</t>
  </si>
  <si>
    <t>Publishers</t>
  </si>
  <si>
    <t>Diamond Media</t>
  </si>
  <si>
    <t>Cliff Acoustics</t>
  </si>
  <si>
    <t>Alphacom</t>
  </si>
  <si>
    <t>Crypticorps</t>
  </si>
  <si>
    <t>Moondustries</t>
  </si>
  <si>
    <t>Surprisystems</t>
  </si>
  <si>
    <t>Lionshine</t>
  </si>
  <si>
    <t>Fairyhive</t>
  </si>
  <si>
    <t>Heartpoint</t>
  </si>
  <si>
    <t>Publisher</t>
  </si>
  <si>
    <t>PEGI</t>
  </si>
  <si>
    <t>PEGI-3</t>
  </si>
  <si>
    <t>PEGI-7</t>
  </si>
  <si>
    <t>PEGI-12</t>
  </si>
  <si>
    <t>PEGI-16</t>
  </si>
  <si>
    <t>PEGI-18</t>
  </si>
  <si>
    <t>PEGI_rating</t>
  </si>
  <si>
    <t>Wholesale_price</t>
  </si>
  <si>
    <t>Edition</t>
  </si>
  <si>
    <t>Max_profit_margin</t>
  </si>
  <si>
    <t>Editions</t>
  </si>
  <si>
    <t>Ord-051</t>
  </si>
  <si>
    <t>Ord-052</t>
  </si>
  <si>
    <t>Ord-053</t>
  </si>
  <si>
    <t>Ord-054</t>
  </si>
  <si>
    <t>Ord-055</t>
  </si>
  <si>
    <t>Ord-056</t>
  </si>
  <si>
    <t>Ord-057</t>
  </si>
  <si>
    <t>Ord-058</t>
  </si>
  <si>
    <t>Ord-059</t>
  </si>
  <si>
    <t>Ord-060</t>
  </si>
  <si>
    <t>Ord-061</t>
  </si>
  <si>
    <t>Ord-062</t>
  </si>
  <si>
    <t>Ord-063</t>
  </si>
  <si>
    <t>Ord-064</t>
  </si>
  <si>
    <t>Ord-065</t>
  </si>
  <si>
    <t>Ord-066</t>
  </si>
  <si>
    <t>Ord-067</t>
  </si>
  <si>
    <t>Ord-068</t>
  </si>
  <si>
    <t>Ord-069</t>
  </si>
  <si>
    <t>Ord-070</t>
  </si>
  <si>
    <t>Ord-071</t>
  </si>
  <si>
    <t>Ord-072</t>
  </si>
  <si>
    <t>Ord-073</t>
  </si>
  <si>
    <t>Ord-074</t>
  </si>
  <si>
    <t>Ord-075</t>
  </si>
  <si>
    <t>Ord-076</t>
  </si>
  <si>
    <t>Ord-077</t>
  </si>
  <si>
    <t>Ord-078</t>
  </si>
  <si>
    <t>Ord-079</t>
  </si>
  <si>
    <t>Ord-080</t>
  </si>
  <si>
    <t>Ord-081</t>
  </si>
  <si>
    <t>Ord-082</t>
  </si>
  <si>
    <t>Ord-083</t>
  </si>
  <si>
    <t>Ord-084</t>
  </si>
  <si>
    <t>Ord-085</t>
  </si>
  <si>
    <t>Ord-086</t>
  </si>
  <si>
    <t>Ord-087</t>
  </si>
  <si>
    <t>Ord-088</t>
  </si>
  <si>
    <t>Ord-089</t>
  </si>
  <si>
    <t>Ord-090</t>
  </si>
  <si>
    <t>Ord-091</t>
  </si>
  <si>
    <t>Ord-092</t>
  </si>
  <si>
    <t>Ord-093</t>
  </si>
  <si>
    <t>Ord-094</t>
  </si>
  <si>
    <t>Ord-095</t>
  </si>
  <si>
    <t>Ord-096</t>
  </si>
  <si>
    <t>Ord-097</t>
  </si>
  <si>
    <t>Ord-098</t>
  </si>
  <si>
    <t>Ord-099</t>
  </si>
  <si>
    <t>Ord-100</t>
  </si>
  <si>
    <t>Standard</t>
  </si>
  <si>
    <t>Collector</t>
  </si>
  <si>
    <t>Shipping</t>
  </si>
  <si>
    <t>Urgency</t>
  </si>
  <si>
    <t>Prime</t>
  </si>
  <si>
    <t>Deluxe</t>
  </si>
  <si>
    <t>Cust_id</t>
  </si>
  <si>
    <t>Cust_name</t>
  </si>
  <si>
    <t xml:space="preserve">Cust_address </t>
  </si>
  <si>
    <t>Cust_class</t>
  </si>
  <si>
    <t>Cust_card_code</t>
  </si>
  <si>
    <t>Credit</t>
  </si>
  <si>
    <t>Prod-001</t>
  </si>
  <si>
    <t>Prod-002</t>
  </si>
  <si>
    <t>Prod-003</t>
  </si>
  <si>
    <t>Prod-004</t>
  </si>
  <si>
    <t>Prod-005</t>
  </si>
  <si>
    <t>Prod-006</t>
  </si>
  <si>
    <t>Prod-007</t>
  </si>
  <si>
    <t>Prod-008</t>
  </si>
  <si>
    <t>Prod-009</t>
  </si>
  <si>
    <t>Prod-010</t>
  </si>
  <si>
    <t>Prod-011</t>
  </si>
  <si>
    <t>Prod-012</t>
  </si>
  <si>
    <t>Prod-013</t>
  </si>
  <si>
    <t>Prod-014</t>
  </si>
  <si>
    <t>Prod-015</t>
  </si>
  <si>
    <t>Prod-016</t>
  </si>
  <si>
    <t>Prod-017</t>
  </si>
  <si>
    <t>Prod-018</t>
  </si>
  <si>
    <t>Prod-019</t>
  </si>
  <si>
    <t>Prod-020</t>
  </si>
  <si>
    <t>Prod-021</t>
  </si>
  <si>
    <t>Prod-022</t>
  </si>
  <si>
    <t>Prod-023</t>
  </si>
  <si>
    <t>Prod-024</t>
  </si>
  <si>
    <t>Prod-025</t>
  </si>
  <si>
    <t>Prod-026</t>
  </si>
  <si>
    <t>Prod-027</t>
  </si>
  <si>
    <t>Prod-028</t>
  </si>
  <si>
    <t>Prod-029</t>
  </si>
  <si>
    <t>Prod-030</t>
  </si>
  <si>
    <t>Prod-031</t>
  </si>
  <si>
    <t>Prod-032</t>
  </si>
  <si>
    <t>Prod-033</t>
  </si>
  <si>
    <t>Prod-034</t>
  </si>
  <si>
    <t>Prod-035</t>
  </si>
  <si>
    <t>Prod-036</t>
  </si>
  <si>
    <t>Prod-037</t>
  </si>
  <si>
    <t>Prod-038</t>
  </si>
  <si>
    <t>Prod-039</t>
  </si>
  <si>
    <t>Prod-040</t>
  </si>
  <si>
    <t>Publisher_name</t>
  </si>
  <si>
    <t>Publisher_cut</t>
  </si>
  <si>
    <t>Publisher_sales</t>
  </si>
  <si>
    <t>Publisher_stock</t>
  </si>
  <si>
    <t>Publisher_demand</t>
  </si>
  <si>
    <t>Empl_id</t>
  </si>
  <si>
    <t>Empl_name</t>
  </si>
  <si>
    <t>Branch_id</t>
  </si>
  <si>
    <t>Status</t>
  </si>
  <si>
    <t>Base_sal</t>
  </si>
  <si>
    <t>Commission</t>
  </si>
  <si>
    <t>Sales</t>
  </si>
  <si>
    <t>Sale_id</t>
  </si>
  <si>
    <t>Sale_date</t>
  </si>
  <si>
    <t>Sale-001</t>
  </si>
  <si>
    <t>Sale-002</t>
  </si>
  <si>
    <t>Sale-003</t>
  </si>
  <si>
    <t>Sale-004</t>
  </si>
  <si>
    <t>Sale-005</t>
  </si>
  <si>
    <t>Sale-006</t>
  </si>
  <si>
    <t>Sale-007</t>
  </si>
  <si>
    <t>Sale-008</t>
  </si>
  <si>
    <t>Sale-009</t>
  </si>
  <si>
    <t>Sale-010</t>
  </si>
  <si>
    <t>Sale-011</t>
  </si>
  <si>
    <t>Sale-012</t>
  </si>
  <si>
    <t>Sale-013</t>
  </si>
  <si>
    <t>Sale-014</t>
  </si>
  <si>
    <t>Sale-015</t>
  </si>
  <si>
    <t>Sale-016</t>
  </si>
  <si>
    <t>Sale-017</t>
  </si>
  <si>
    <t>Sale-018</t>
  </si>
  <si>
    <t>Sale-019</t>
  </si>
  <si>
    <t>Sale-020</t>
  </si>
  <si>
    <t>Sale-021</t>
  </si>
  <si>
    <t>Sale-022</t>
  </si>
  <si>
    <t>Sale-023</t>
  </si>
  <si>
    <t>Sale-024</t>
  </si>
  <si>
    <t>Sale-025</t>
  </si>
  <si>
    <t>Sale-026</t>
  </si>
  <si>
    <t>Sale-027</t>
  </si>
  <si>
    <t>Sale-028</t>
  </si>
  <si>
    <t>Sale-029</t>
  </si>
  <si>
    <t>Sale-030</t>
  </si>
  <si>
    <t>Sale-031</t>
  </si>
  <si>
    <t>Sale-032</t>
  </si>
  <si>
    <t>Sale-033</t>
  </si>
  <si>
    <t>Sale-034</t>
  </si>
  <si>
    <t>Sale-035</t>
  </si>
  <si>
    <t>Sale-036</t>
  </si>
  <si>
    <t>Sale-037</t>
  </si>
  <si>
    <t>Sale-038</t>
  </si>
  <si>
    <t>Sale-039</t>
  </si>
  <si>
    <t>Sale-040</t>
  </si>
  <si>
    <t>Sale-041</t>
  </si>
  <si>
    <t>Sale-042</t>
  </si>
  <si>
    <t>Sale-043</t>
  </si>
  <si>
    <t>Sale-044</t>
  </si>
  <si>
    <t>Sale-045</t>
  </si>
  <si>
    <t>Sale-046</t>
  </si>
  <si>
    <t>Sale-047</t>
  </si>
  <si>
    <t>Sale-048</t>
  </si>
  <si>
    <t>Sale-049</t>
  </si>
  <si>
    <t>Sale-050</t>
  </si>
  <si>
    <t>Sale-051</t>
  </si>
  <si>
    <t>Sale-052</t>
  </si>
  <si>
    <t>Sale-053</t>
  </si>
  <si>
    <t>Sale-054</t>
  </si>
  <si>
    <t>Sale-055</t>
  </si>
  <si>
    <t>Sale-056</t>
  </si>
  <si>
    <t>Sale-057</t>
  </si>
  <si>
    <t>Sale-058</t>
  </si>
  <si>
    <t>Sale-059</t>
  </si>
  <si>
    <t>Sale-060</t>
  </si>
  <si>
    <t>Sale-061</t>
  </si>
  <si>
    <t>Sale-062</t>
  </si>
  <si>
    <t>Sale-063</t>
  </si>
  <si>
    <t>Sale-064</t>
  </si>
  <si>
    <t>Sale-065</t>
  </si>
  <si>
    <t>Sale-066</t>
  </si>
  <si>
    <t>Sale-067</t>
  </si>
  <si>
    <t>Sale-068</t>
  </si>
  <si>
    <t>Sale-069</t>
  </si>
  <si>
    <t>Sale-070</t>
  </si>
  <si>
    <t>Sale-071</t>
  </si>
  <si>
    <t>Sale-072</t>
  </si>
  <si>
    <t>Sale-073</t>
  </si>
  <si>
    <t>Sale-074</t>
  </si>
  <si>
    <t>Sale-075</t>
  </si>
  <si>
    <t>Sale-076</t>
  </si>
  <si>
    <t>Sale-077</t>
  </si>
  <si>
    <t>Sale-078</t>
  </si>
  <si>
    <t>Sale-079</t>
  </si>
  <si>
    <t>Sale-080</t>
  </si>
  <si>
    <t>Sale-081</t>
  </si>
  <si>
    <t>Sale-082</t>
  </si>
  <si>
    <t>Sale-083</t>
  </si>
  <si>
    <t>Sale-084</t>
  </si>
  <si>
    <t>Sale-085</t>
  </si>
  <si>
    <t>Sale-086</t>
  </si>
  <si>
    <t>Sale-087</t>
  </si>
  <si>
    <t>Sale-088</t>
  </si>
  <si>
    <t>Sale-089</t>
  </si>
  <si>
    <t>Sale-090</t>
  </si>
  <si>
    <t>Sale-091</t>
  </si>
  <si>
    <t>Sale-092</t>
  </si>
  <si>
    <t>Sale-093</t>
  </si>
  <si>
    <t>Sale-094</t>
  </si>
  <si>
    <t>Sale-095</t>
  </si>
  <si>
    <t>Sale-096</t>
  </si>
  <si>
    <t>Sale-097</t>
  </si>
  <si>
    <t>Sale-098</t>
  </si>
  <si>
    <t>Sale-099</t>
  </si>
  <si>
    <t>Sale-100</t>
  </si>
  <si>
    <t>empl_001</t>
  </si>
  <si>
    <t>empl_002</t>
  </si>
  <si>
    <t>empl_003</t>
  </si>
  <si>
    <t>empl_004</t>
  </si>
  <si>
    <t>empl_005</t>
  </si>
  <si>
    <t>empl_006</t>
  </si>
  <si>
    <t>empl_007</t>
  </si>
  <si>
    <t>empl_008</t>
  </si>
  <si>
    <t>empl_009</t>
  </si>
  <si>
    <t>empl_010</t>
  </si>
  <si>
    <t>empl_011</t>
  </si>
  <si>
    <t>empl_012</t>
  </si>
  <si>
    <t>empl_013</t>
  </si>
  <si>
    <t>empl_014</t>
  </si>
  <si>
    <t>empl_015</t>
  </si>
  <si>
    <t>empl_016</t>
  </si>
  <si>
    <t>empl_017</t>
  </si>
  <si>
    <t>empl_018</t>
  </si>
  <si>
    <t>empl_019</t>
  </si>
  <si>
    <t>empl_020</t>
  </si>
  <si>
    <t>empl_021</t>
  </si>
  <si>
    <t>empl_022</t>
  </si>
  <si>
    <t>empl_023</t>
  </si>
  <si>
    <t>empl_024</t>
  </si>
  <si>
    <t>empl_025</t>
  </si>
  <si>
    <t>empl_026</t>
  </si>
  <si>
    <t>empl_027</t>
  </si>
  <si>
    <t>empl_028</t>
  </si>
  <si>
    <t>empl_029</t>
  </si>
  <si>
    <t>empl_030</t>
  </si>
  <si>
    <t>empl_031</t>
  </si>
  <si>
    <t>empl_032</t>
  </si>
  <si>
    <t>empl_033</t>
  </si>
  <si>
    <t>empl_034</t>
  </si>
  <si>
    <t>empl_035</t>
  </si>
  <si>
    <t>empl_036</t>
  </si>
  <si>
    <t>empl_037</t>
  </si>
  <si>
    <t>empl_038</t>
  </si>
  <si>
    <t>empl_039</t>
  </si>
  <si>
    <t>empl_040</t>
  </si>
  <si>
    <t>empl_041</t>
  </si>
  <si>
    <t>empl_042</t>
  </si>
  <si>
    <t>empl_043</t>
  </si>
  <si>
    <t>empl_044</t>
  </si>
  <si>
    <t>empl_045</t>
  </si>
  <si>
    <t>empl_046</t>
  </si>
  <si>
    <t>empl_047</t>
  </si>
  <si>
    <t>empl_048</t>
  </si>
  <si>
    <t>empl_049</t>
  </si>
  <si>
    <t>Region</t>
  </si>
  <si>
    <t>Manager_id</t>
  </si>
  <si>
    <t>br-001</t>
  </si>
  <si>
    <t>br-002</t>
  </si>
  <si>
    <t>br-003</t>
  </si>
  <si>
    <t>br-004</t>
  </si>
  <si>
    <t>br-005</t>
  </si>
  <si>
    <t>br-006</t>
  </si>
  <si>
    <t>br-007</t>
  </si>
  <si>
    <t>br-008</t>
  </si>
  <si>
    <t>br-009</t>
  </si>
  <si>
    <t>br-010</t>
  </si>
  <si>
    <t>br-011</t>
  </si>
  <si>
    <t>br-012</t>
  </si>
  <si>
    <t>br-013</t>
  </si>
  <si>
    <t>br-014</t>
  </si>
  <si>
    <t>br-015</t>
  </si>
  <si>
    <t>br-016</t>
  </si>
  <si>
    <t>br-017</t>
  </si>
  <si>
    <t>br-018</t>
  </si>
  <si>
    <t>br-019</t>
  </si>
  <si>
    <t>br-020</t>
  </si>
  <si>
    <t>crd_001</t>
  </si>
  <si>
    <t>Card_id</t>
  </si>
  <si>
    <t>crd_002</t>
  </si>
  <si>
    <t>crd_003</t>
  </si>
  <si>
    <t>crd_004</t>
  </si>
  <si>
    <t>crd_005</t>
  </si>
  <si>
    <t>crd_006</t>
  </si>
  <si>
    <t>crd_007</t>
  </si>
  <si>
    <t>crd_008</t>
  </si>
  <si>
    <t>crd_009</t>
  </si>
  <si>
    <t>crd_010</t>
  </si>
  <si>
    <t>crd_011</t>
  </si>
  <si>
    <t>crd_012</t>
  </si>
  <si>
    <t>crd_013</t>
  </si>
  <si>
    <t>crd_014</t>
  </si>
  <si>
    <t>crd_015</t>
  </si>
  <si>
    <t>crd_016</t>
  </si>
  <si>
    <t>crd_017</t>
  </si>
  <si>
    <t>crd_018</t>
  </si>
  <si>
    <t>crd_019</t>
  </si>
  <si>
    <t>crd_020</t>
  </si>
  <si>
    <t>crd_021</t>
  </si>
  <si>
    <t>crd_022</t>
  </si>
  <si>
    <t>crd_023</t>
  </si>
  <si>
    <t>crd_024</t>
  </si>
  <si>
    <t>crd_025</t>
  </si>
  <si>
    <t>crd_026</t>
  </si>
  <si>
    <t>crd_027</t>
  </si>
  <si>
    <t>crd_028</t>
  </si>
  <si>
    <t>crd_029</t>
  </si>
  <si>
    <t>crd_030</t>
  </si>
  <si>
    <t>crd_031</t>
  </si>
  <si>
    <t>crd_032</t>
  </si>
  <si>
    <t>crd_033</t>
  </si>
  <si>
    <t>crd_034</t>
  </si>
  <si>
    <t>crd_035</t>
  </si>
  <si>
    <t>crd_036</t>
  </si>
  <si>
    <t>crd_037</t>
  </si>
  <si>
    <t>crd_038</t>
  </si>
  <si>
    <t>crd_039</t>
  </si>
  <si>
    <t>crd_040</t>
  </si>
  <si>
    <t>crd_041</t>
  </si>
  <si>
    <t>crd_042</t>
  </si>
  <si>
    <t>crd_043</t>
  </si>
  <si>
    <t>crd_044</t>
  </si>
  <si>
    <t>crd_045</t>
  </si>
  <si>
    <t>crd_046</t>
  </si>
  <si>
    <t>crd_047</t>
  </si>
  <si>
    <t>crd_048</t>
  </si>
  <si>
    <t>crd_049</t>
  </si>
  <si>
    <t>cust-001</t>
  </si>
  <si>
    <t>cust-002</t>
  </si>
  <si>
    <t>cust-003</t>
  </si>
  <si>
    <t>cust-004</t>
  </si>
  <si>
    <t>cust-005</t>
  </si>
  <si>
    <t>cust-006</t>
  </si>
  <si>
    <t>cust-007</t>
  </si>
  <si>
    <t>cust-008</t>
  </si>
  <si>
    <t>cust-009</t>
  </si>
  <si>
    <t>cust-010</t>
  </si>
  <si>
    <t>cust-011</t>
  </si>
  <si>
    <t>cust-012</t>
  </si>
  <si>
    <t>cust-013</t>
  </si>
  <si>
    <t>cust-014</t>
  </si>
  <si>
    <t>cust-015</t>
  </si>
  <si>
    <t>cust-016</t>
  </si>
  <si>
    <t>cust-017</t>
  </si>
  <si>
    <t>cust-018</t>
  </si>
  <si>
    <t>cust-019</t>
  </si>
  <si>
    <t>cust-020</t>
  </si>
  <si>
    <t>cust-021</t>
  </si>
  <si>
    <t>cust-022</t>
  </si>
  <si>
    <t>cust-023</t>
  </si>
  <si>
    <t>cust-024</t>
  </si>
  <si>
    <t>cust-025</t>
  </si>
  <si>
    <t>cust-026</t>
  </si>
  <si>
    <t>cust-027</t>
  </si>
  <si>
    <t>cust-028</t>
  </si>
  <si>
    <t>cust-029</t>
  </si>
  <si>
    <t>cust-030</t>
  </si>
  <si>
    <t>cust-031</t>
  </si>
  <si>
    <t>cust-032</t>
  </si>
  <si>
    <t>cust-033</t>
  </si>
  <si>
    <t>cust-034</t>
  </si>
  <si>
    <t>cust-035</t>
  </si>
  <si>
    <t>cust-036</t>
  </si>
  <si>
    <t>cust-037</t>
  </si>
  <si>
    <t>cust-038</t>
  </si>
  <si>
    <t>cust-039</t>
  </si>
  <si>
    <t>cust-040</t>
  </si>
  <si>
    <t>cust-041</t>
  </si>
  <si>
    <t>cust-042</t>
  </si>
  <si>
    <t>cust-043</t>
  </si>
  <si>
    <t>cust-044</t>
  </si>
  <si>
    <t>cust-045</t>
  </si>
  <si>
    <t>cust-046</t>
  </si>
  <si>
    <t>cust-047</t>
  </si>
  <si>
    <t>cust-048</t>
  </si>
  <si>
    <t>cust-049</t>
  </si>
  <si>
    <t>cust-050</t>
  </si>
  <si>
    <t>cust-051</t>
  </si>
  <si>
    <t>cust-052</t>
  </si>
  <si>
    <t>cust-053</t>
  </si>
  <si>
    <t>cust-054</t>
  </si>
  <si>
    <t>cust-055</t>
  </si>
  <si>
    <t>cust-056</t>
  </si>
  <si>
    <t>cust-057</t>
  </si>
  <si>
    <t>cust-058</t>
  </si>
  <si>
    <t>cust-059</t>
  </si>
  <si>
    <t>cust-060</t>
  </si>
  <si>
    <t>cust-061</t>
  </si>
  <si>
    <t>cust-062</t>
  </si>
  <si>
    <t>cust-063</t>
  </si>
  <si>
    <t>cust-064</t>
  </si>
  <si>
    <t>cust-065</t>
  </si>
  <si>
    <t>cust-066</t>
  </si>
  <si>
    <t>cust-067</t>
  </si>
  <si>
    <t>cust-068</t>
  </si>
  <si>
    <t>cust-069</t>
  </si>
  <si>
    <t>cust-070</t>
  </si>
  <si>
    <t>cust-071</t>
  </si>
  <si>
    <t>cust-072</t>
  </si>
  <si>
    <t>cust-073</t>
  </si>
  <si>
    <t>cust-074</t>
  </si>
  <si>
    <t>cust-075</t>
  </si>
  <si>
    <t>cust-076</t>
  </si>
  <si>
    <t>cust-077</t>
  </si>
  <si>
    <t>cust-078</t>
  </si>
  <si>
    <t>cust-079</t>
  </si>
  <si>
    <t>cust-080</t>
  </si>
  <si>
    <t>cust-081</t>
  </si>
  <si>
    <t>cust-082</t>
  </si>
  <si>
    <t>cust-083</t>
  </si>
  <si>
    <t>cust-084</t>
  </si>
  <si>
    <t>cust-085</t>
  </si>
  <si>
    <t>cust-086</t>
  </si>
  <si>
    <t>cust-087</t>
  </si>
  <si>
    <t>cust-088</t>
  </si>
  <si>
    <t>cust-089</t>
  </si>
  <si>
    <t>cust-090</t>
  </si>
  <si>
    <t>cust-091</t>
  </si>
  <si>
    <t>cust-092</t>
  </si>
  <si>
    <t>cust-093</t>
  </si>
  <si>
    <t>cust-094</t>
  </si>
  <si>
    <t>cust-095</t>
  </si>
  <si>
    <t>cust-096</t>
  </si>
  <si>
    <t>cust-097</t>
  </si>
  <si>
    <t>cust-098</t>
  </si>
  <si>
    <t>cust-099</t>
  </si>
  <si>
    <t>cust-100</t>
  </si>
  <si>
    <t>cust-101</t>
  </si>
  <si>
    <t>cust-102</t>
  </si>
  <si>
    <t>cust-103</t>
  </si>
  <si>
    <t>cust-104</t>
  </si>
  <si>
    <t>cust-105</t>
  </si>
  <si>
    <t>cust-106</t>
  </si>
  <si>
    <t>cust-107</t>
  </si>
  <si>
    <t>cust-108</t>
  </si>
  <si>
    <t>cust-109</t>
  </si>
  <si>
    <t>cust-110</t>
  </si>
  <si>
    <t>cust-111</t>
  </si>
  <si>
    <t>cust-112</t>
  </si>
  <si>
    <t>cust-113</t>
  </si>
  <si>
    <t>cust-114</t>
  </si>
  <si>
    <t>cust-115</t>
  </si>
  <si>
    <t>cust-116</t>
  </si>
  <si>
    <t>cust-117</t>
  </si>
  <si>
    <t>cust-118</t>
  </si>
  <si>
    <t>cust-119</t>
  </si>
  <si>
    <t>cust-120</t>
  </si>
  <si>
    <t>cust-121</t>
  </si>
  <si>
    <t>cust-122</t>
  </si>
  <si>
    <t>cust-123</t>
  </si>
  <si>
    <t>cust-124</t>
  </si>
  <si>
    <t>cust-125</t>
  </si>
  <si>
    <t>cust-126</t>
  </si>
  <si>
    <t>cust-127</t>
  </si>
  <si>
    <t>cust-128</t>
  </si>
  <si>
    <t>cust-129</t>
  </si>
  <si>
    <t>cust-130</t>
  </si>
  <si>
    <t>cust-131</t>
  </si>
  <si>
    <t>cust-132</t>
  </si>
  <si>
    <t>cust-133</t>
  </si>
  <si>
    <t>cust-134</t>
  </si>
  <si>
    <t>cust-135</t>
  </si>
  <si>
    <t>cust-136</t>
  </si>
  <si>
    <t>cust-137</t>
  </si>
  <si>
    <t>cust-138</t>
  </si>
  <si>
    <t>cust-139</t>
  </si>
  <si>
    <t>cust-140</t>
  </si>
  <si>
    <t>cust-141</t>
  </si>
  <si>
    <t>cust-142</t>
  </si>
  <si>
    <t>cust-143</t>
  </si>
  <si>
    <t>cust-144</t>
  </si>
  <si>
    <t>cust-145</t>
  </si>
  <si>
    <t>cust-146</t>
  </si>
  <si>
    <t>cust-147</t>
  </si>
  <si>
    <t>cust-148</t>
  </si>
  <si>
    <t>cust-149</t>
  </si>
  <si>
    <t>cust-150</t>
  </si>
  <si>
    <t>cust-151</t>
  </si>
  <si>
    <t>cust-152</t>
  </si>
  <si>
    <t>cust-153</t>
  </si>
  <si>
    <t>cust-154</t>
  </si>
  <si>
    <t>cust-155</t>
  </si>
  <si>
    <t>cust-156</t>
  </si>
  <si>
    <t>cust-157</t>
  </si>
  <si>
    <t>cust-158</t>
  </si>
  <si>
    <t>cust-159</t>
  </si>
  <si>
    <t>cust-160</t>
  </si>
  <si>
    <t>cust-161</t>
  </si>
  <si>
    <t>cust-162</t>
  </si>
  <si>
    <t>cust-163</t>
  </si>
  <si>
    <t>cust-164</t>
  </si>
  <si>
    <t>cust-165</t>
  </si>
  <si>
    <t>cust-166</t>
  </si>
  <si>
    <t>cust-167</t>
  </si>
  <si>
    <t>cust-168</t>
  </si>
  <si>
    <t>cust-169</t>
  </si>
  <si>
    <t>cust-170</t>
  </si>
  <si>
    <t>cust-171</t>
  </si>
  <si>
    <t>cust-172</t>
  </si>
  <si>
    <t>cust-173</t>
  </si>
  <si>
    <t>cust-174</t>
  </si>
  <si>
    <t>cust-175</t>
  </si>
  <si>
    <t>cust-176</t>
  </si>
  <si>
    <t>cust-177</t>
  </si>
  <si>
    <t>cust-178</t>
  </si>
  <si>
    <t>cust-179</t>
  </si>
  <si>
    <t>cust-180</t>
  </si>
  <si>
    <t>cust-181</t>
  </si>
  <si>
    <t>cust-182</t>
  </si>
  <si>
    <t>cust-183</t>
  </si>
  <si>
    <t>cust-184</t>
  </si>
  <si>
    <t>cust-185</t>
  </si>
  <si>
    <t>cust-186</t>
  </si>
  <si>
    <t>cust-187</t>
  </si>
  <si>
    <t>cust-188</t>
  </si>
  <si>
    <t>cust-189</t>
  </si>
  <si>
    <t>cust-190</t>
  </si>
  <si>
    <t>cust-191</t>
  </si>
  <si>
    <t>cust-192</t>
  </si>
  <si>
    <t>cust-193</t>
  </si>
  <si>
    <t>cust-194</t>
  </si>
  <si>
    <t>cust-195</t>
  </si>
  <si>
    <t>cust-196</t>
  </si>
  <si>
    <t>cust-197</t>
  </si>
  <si>
    <t>cust-198</t>
  </si>
  <si>
    <t>cust-199</t>
  </si>
  <si>
    <t>cust-200</t>
  </si>
  <si>
    <t>cust-201</t>
  </si>
  <si>
    <t>cust-202</t>
  </si>
  <si>
    <t>cust-203</t>
  </si>
  <si>
    <t>cust-204</t>
  </si>
  <si>
    <t>cust-205</t>
  </si>
  <si>
    <t>cust-206</t>
  </si>
  <si>
    <t>cust-207</t>
  </si>
  <si>
    <t>cust-208</t>
  </si>
  <si>
    <t>cust-209</t>
  </si>
  <si>
    <t>cust-210</t>
  </si>
  <si>
    <t>cust-211</t>
  </si>
  <si>
    <t>cust-212</t>
  </si>
  <si>
    <t>cust-213</t>
  </si>
  <si>
    <t>cust-214</t>
  </si>
  <si>
    <t>cust-215</t>
  </si>
  <si>
    <t>cust-216</t>
  </si>
  <si>
    <t>cust-217</t>
  </si>
  <si>
    <t>cust-218</t>
  </si>
  <si>
    <t>cust-219</t>
  </si>
  <si>
    <t>cust-220</t>
  </si>
  <si>
    <t>cust-221</t>
  </si>
  <si>
    <t>cust-222</t>
  </si>
  <si>
    <t>cust-223</t>
  </si>
  <si>
    <t>cust-224</t>
  </si>
  <si>
    <t>cust-225</t>
  </si>
  <si>
    <t>cust-226</t>
  </si>
  <si>
    <t>cust-227</t>
  </si>
  <si>
    <t>cust-228</t>
  </si>
  <si>
    <t>cust-229</t>
  </si>
  <si>
    <t>cust-230</t>
  </si>
  <si>
    <t>cust-231</t>
  </si>
  <si>
    <t>cust-232</t>
  </si>
  <si>
    <t>cust-233</t>
  </si>
  <si>
    <t>cust-234</t>
  </si>
  <si>
    <t>cust-235</t>
  </si>
  <si>
    <t>cust-236</t>
  </si>
  <si>
    <t>cust-237</t>
  </si>
  <si>
    <t>cust-238</t>
  </si>
  <si>
    <t>cust-239</t>
  </si>
  <si>
    <t>cust-240</t>
  </si>
  <si>
    <t>cust-241</t>
  </si>
  <si>
    <t>cust-242</t>
  </si>
  <si>
    <t>cust-243</t>
  </si>
  <si>
    <t>cust-244</t>
  </si>
  <si>
    <t>cust-245</t>
  </si>
  <si>
    <t>cust-246</t>
  </si>
  <si>
    <t>cust-247</t>
  </si>
  <si>
    <t>cust-248</t>
  </si>
  <si>
    <t>cust-249</t>
  </si>
  <si>
    <t>cust-250</t>
  </si>
  <si>
    <t>cust-251</t>
  </si>
  <si>
    <t>cust-252</t>
  </si>
  <si>
    <t>cust-253</t>
  </si>
  <si>
    <t>cust-254</t>
  </si>
  <si>
    <t>cust-255</t>
  </si>
  <si>
    <t>cust-256</t>
  </si>
  <si>
    <t>cust-257</t>
  </si>
  <si>
    <t>cust-258</t>
  </si>
  <si>
    <t>cust-259</t>
  </si>
  <si>
    <t>cust-260</t>
  </si>
  <si>
    <t>cust-261</t>
  </si>
  <si>
    <t>cust-262</t>
  </si>
  <si>
    <t>cust-263</t>
  </si>
  <si>
    <t>cust-264</t>
  </si>
  <si>
    <t>cust-265</t>
  </si>
  <si>
    <t>cust-266</t>
  </si>
  <si>
    <t>cust-267</t>
  </si>
  <si>
    <t>cust-268</t>
  </si>
  <si>
    <t>cust-269</t>
  </si>
  <si>
    <t>cust-270</t>
  </si>
  <si>
    <t>cust-271</t>
  </si>
  <si>
    <t>cust-272</t>
  </si>
  <si>
    <t>cust-273</t>
  </si>
  <si>
    <t>cust-274</t>
  </si>
  <si>
    <t>cust-275</t>
  </si>
  <si>
    <t>cust-276</t>
  </si>
  <si>
    <t>cust-277</t>
  </si>
  <si>
    <t>cust-278</t>
  </si>
  <si>
    <t>cust-279</t>
  </si>
  <si>
    <t>cust-280</t>
  </si>
  <si>
    <t>cust-281</t>
  </si>
  <si>
    <t>cust-282</t>
  </si>
  <si>
    <t>cust-283</t>
  </si>
  <si>
    <t>cust-284</t>
  </si>
  <si>
    <t>cust-285</t>
  </si>
  <si>
    <t>cust-286</t>
  </si>
  <si>
    <t>cust-287</t>
  </si>
  <si>
    <t>cust-288</t>
  </si>
  <si>
    <t>cust-289</t>
  </si>
  <si>
    <t>cust-290</t>
  </si>
  <si>
    <t>cust-291</t>
  </si>
  <si>
    <t>cust-292</t>
  </si>
  <si>
    <t>cust-293</t>
  </si>
  <si>
    <t>cust-294</t>
  </si>
  <si>
    <t>cust-295</t>
  </si>
  <si>
    <t>cust-296</t>
  </si>
  <si>
    <t>cust-297</t>
  </si>
  <si>
    <t>cust-298</t>
  </si>
  <si>
    <t>cust-299</t>
  </si>
  <si>
    <t>Card_status</t>
  </si>
  <si>
    <t>Exp_date</t>
  </si>
  <si>
    <t>Act_date</t>
  </si>
  <si>
    <t>Warehouse_id</t>
  </si>
  <si>
    <t>wrh-001</t>
  </si>
  <si>
    <t>wrh-002</t>
  </si>
  <si>
    <t>wrh-003</t>
  </si>
  <si>
    <t>wrh-004</t>
  </si>
  <si>
    <t>East</t>
  </si>
  <si>
    <t>South</t>
  </si>
  <si>
    <t>wrh-005</t>
  </si>
  <si>
    <t>Central</t>
  </si>
  <si>
    <t>LOCAL</t>
  </si>
  <si>
    <t>GLOBAL</t>
  </si>
  <si>
    <t>NORTH</t>
  </si>
  <si>
    <t>SOUTH</t>
  </si>
  <si>
    <t>EAST</t>
  </si>
  <si>
    <t>WEST</t>
  </si>
  <si>
    <t>CENTRAL</t>
  </si>
  <si>
    <t>cust-300</t>
  </si>
  <si>
    <t>Cust_gender</t>
  </si>
  <si>
    <t>Male</t>
  </si>
  <si>
    <t>Female</t>
  </si>
  <si>
    <t>Other</t>
  </si>
  <si>
    <t>Square</t>
  </si>
  <si>
    <t>Avenue</t>
  </si>
  <si>
    <t>Place</t>
  </si>
  <si>
    <t>ACTIVE</t>
  </si>
  <si>
    <t>INACTIVE</t>
  </si>
  <si>
    <t>HIGH</t>
  </si>
  <si>
    <t>MED</t>
  </si>
  <si>
    <t>LOW</t>
  </si>
  <si>
    <t>VIP</t>
  </si>
  <si>
    <t>crd_050</t>
  </si>
  <si>
    <t>crd_051</t>
  </si>
  <si>
    <t>crd_052</t>
  </si>
  <si>
    <t>crd_053</t>
  </si>
  <si>
    <t>crd_054</t>
  </si>
  <si>
    <t>crd_055</t>
  </si>
  <si>
    <t>crd_056</t>
  </si>
  <si>
    <t>crd_057</t>
  </si>
  <si>
    <t>crd_058</t>
  </si>
  <si>
    <t>crd_059</t>
  </si>
  <si>
    <t>crd_060</t>
  </si>
  <si>
    <t>crd_061</t>
  </si>
  <si>
    <t>crd_062</t>
  </si>
  <si>
    <t>crd_063</t>
  </si>
  <si>
    <t>crd_064</t>
  </si>
  <si>
    <t>crd_065</t>
  </si>
  <si>
    <t>crd_066</t>
  </si>
  <si>
    <t>crd_067</t>
  </si>
  <si>
    <t>crd_068</t>
  </si>
  <si>
    <t>crd_069</t>
  </si>
  <si>
    <t>crd_070</t>
  </si>
  <si>
    <t>crd_071</t>
  </si>
  <si>
    <t>crd_072</t>
  </si>
  <si>
    <t>crd_073</t>
  </si>
  <si>
    <t>crd_074</t>
  </si>
  <si>
    <t>crd_075</t>
  </si>
  <si>
    <t>crd_076</t>
  </si>
  <si>
    <t>crd_077</t>
  </si>
  <si>
    <t>crd_078</t>
  </si>
  <si>
    <t>crd_079</t>
  </si>
  <si>
    <t>crd_080</t>
  </si>
  <si>
    <t>crd_081</t>
  </si>
  <si>
    <t>crd_082</t>
  </si>
  <si>
    <t>crd_083</t>
  </si>
  <si>
    <t>crd_084</t>
  </si>
  <si>
    <t>crd_085</t>
  </si>
  <si>
    <t>crd_086</t>
  </si>
  <si>
    <t>crd_087</t>
  </si>
  <si>
    <t>crd_088</t>
  </si>
  <si>
    <t>crd_089</t>
  </si>
  <si>
    <t>crd_090</t>
  </si>
  <si>
    <t>crd_091</t>
  </si>
  <si>
    <t>crd_092</t>
  </si>
  <si>
    <t>crd_093</t>
  </si>
  <si>
    <t>crd_094</t>
  </si>
  <si>
    <t>crd_095</t>
  </si>
  <si>
    <t>crd_096</t>
  </si>
  <si>
    <t>crd_097</t>
  </si>
  <si>
    <t>crd_098</t>
  </si>
  <si>
    <t>crd_099</t>
  </si>
  <si>
    <t>YES</t>
  </si>
  <si>
    <t>NO</t>
  </si>
  <si>
    <t>crd_100</t>
  </si>
  <si>
    <t>MEDIUM</t>
  </si>
  <si>
    <t>Emp_num</t>
  </si>
  <si>
    <t>mgr_001</t>
  </si>
  <si>
    <t>mgr_002</t>
  </si>
  <si>
    <t>mgr_003</t>
  </si>
  <si>
    <t>mgr_004</t>
  </si>
  <si>
    <t>mgr_005</t>
  </si>
  <si>
    <t>mgr_006</t>
  </si>
  <si>
    <t>mgr_007</t>
  </si>
  <si>
    <t>mgr_008</t>
  </si>
  <si>
    <t>mgr_009</t>
  </si>
  <si>
    <t>mgr_010</t>
  </si>
  <si>
    <t>mgr_011</t>
  </si>
  <si>
    <t>mgr_012</t>
  </si>
  <si>
    <t>mgr_013</t>
  </si>
  <si>
    <t>mgr_014</t>
  </si>
  <si>
    <t>mgr_015</t>
  </si>
  <si>
    <t>mgr_016</t>
  </si>
  <si>
    <t>mgr_017</t>
  </si>
  <si>
    <t>mgr_018</t>
  </si>
  <si>
    <t>mgr_019</t>
  </si>
  <si>
    <t>mgr_020</t>
  </si>
  <si>
    <t>Util_cost</t>
  </si>
  <si>
    <t>Sale-101</t>
  </si>
  <si>
    <t>Sale-102</t>
  </si>
  <si>
    <t>Sale-103</t>
  </si>
  <si>
    <t>Sale-104</t>
  </si>
  <si>
    <t>Sale-105</t>
  </si>
  <si>
    <t>Sale-106</t>
  </si>
  <si>
    <t>Sale-107</t>
  </si>
  <si>
    <t>Sale-108</t>
  </si>
  <si>
    <t>Sale-109</t>
  </si>
  <si>
    <t>Sale-110</t>
  </si>
  <si>
    <t>Sale-111</t>
  </si>
  <si>
    <t>Sale-112</t>
  </si>
  <si>
    <t>Sale-113</t>
  </si>
  <si>
    <t>Sale-114</t>
  </si>
  <si>
    <t>Sale-115</t>
  </si>
  <si>
    <t>Sale-116</t>
  </si>
  <si>
    <t>Sale-117</t>
  </si>
  <si>
    <t>Sale-118</t>
  </si>
  <si>
    <t>Sale-119</t>
  </si>
  <si>
    <t>Sale-120</t>
  </si>
  <si>
    <t>Sale-121</t>
  </si>
  <si>
    <t>Sale-122</t>
  </si>
  <si>
    <t>Sale-123</t>
  </si>
  <si>
    <t>Sale-124</t>
  </si>
  <si>
    <t>Sale-125</t>
  </si>
  <si>
    <t>Sale-126</t>
  </si>
  <si>
    <t>Sale-127</t>
  </si>
  <si>
    <t>Sale-128</t>
  </si>
  <si>
    <t>Sale-129</t>
  </si>
  <si>
    <t>Sale-130</t>
  </si>
  <si>
    <t>Sale-131</t>
  </si>
  <si>
    <t>Sale-132</t>
  </si>
  <si>
    <t>Sale-133</t>
  </si>
  <si>
    <t>Sale-134</t>
  </si>
  <si>
    <t>Sale-135</t>
  </si>
  <si>
    <t>Sale-136</t>
  </si>
  <si>
    <t>Sale-137</t>
  </si>
  <si>
    <t>Sale-138</t>
  </si>
  <si>
    <t>Sale-139</t>
  </si>
  <si>
    <t>Sale-140</t>
  </si>
  <si>
    <t>Sale-141</t>
  </si>
  <si>
    <t>Sale-142</t>
  </si>
  <si>
    <t>Sale-143</t>
  </si>
  <si>
    <t>Sale-144</t>
  </si>
  <si>
    <t>Sale-145</t>
  </si>
  <si>
    <t>Sale-146</t>
  </si>
  <si>
    <t>Sale-147</t>
  </si>
  <si>
    <t>Sale-148</t>
  </si>
  <si>
    <t>Sale-149</t>
  </si>
  <si>
    <t>Sale-150</t>
  </si>
  <si>
    <t>Sale-151</t>
  </si>
  <si>
    <t>Sale-152</t>
  </si>
  <si>
    <t>Sale-153</t>
  </si>
  <si>
    <t>Sale-154</t>
  </si>
  <si>
    <t>Sale-155</t>
  </si>
  <si>
    <t>Sale-156</t>
  </si>
  <si>
    <t>Sale-157</t>
  </si>
  <si>
    <t>Sale-158</t>
  </si>
  <si>
    <t>Sale-159</t>
  </si>
  <si>
    <t>Sale-160</t>
  </si>
  <si>
    <t>Sale-161</t>
  </si>
  <si>
    <t>Sale-162</t>
  </si>
  <si>
    <t>Sale-163</t>
  </si>
  <si>
    <t>Sale-164</t>
  </si>
  <si>
    <t>Sale-165</t>
  </si>
  <si>
    <t>Sale-166</t>
  </si>
  <si>
    <t>Sale-167</t>
  </si>
  <si>
    <t>Sale-168</t>
  </si>
  <si>
    <t>Sale-169</t>
  </si>
  <si>
    <t>Sale-170</t>
  </si>
  <si>
    <t>Sale-171</t>
  </si>
  <si>
    <t>Sale-172</t>
  </si>
  <si>
    <t>Sale-173</t>
  </si>
  <si>
    <t>Sale-174</t>
  </si>
  <si>
    <t>Sale-175</t>
  </si>
  <si>
    <t>Sale-176</t>
  </si>
  <si>
    <t>Sale-177</t>
  </si>
  <si>
    <t>Sale-178</t>
  </si>
  <si>
    <t>Sale-179</t>
  </si>
  <si>
    <t>Sale-180</t>
  </si>
  <si>
    <t>Sale-181</t>
  </si>
  <si>
    <t>Sale-182</t>
  </si>
  <si>
    <t>Sale-183</t>
  </si>
  <si>
    <t>Sale-184</t>
  </si>
  <si>
    <t>Sale-185</t>
  </si>
  <si>
    <t>Sale-186</t>
  </si>
  <si>
    <t>Sale-187</t>
  </si>
  <si>
    <t>Sale-188</t>
  </si>
  <si>
    <t>Sale-189</t>
  </si>
  <si>
    <t>Sale-190</t>
  </si>
  <si>
    <t>Sale-191</t>
  </si>
  <si>
    <t>Sale-192</t>
  </si>
  <si>
    <t>Sale-193</t>
  </si>
  <si>
    <t>Sale-194</t>
  </si>
  <si>
    <t>Sale-195</t>
  </si>
  <si>
    <t>Sale-196</t>
  </si>
  <si>
    <t>Sale-197</t>
  </si>
  <si>
    <t>Sale-198</t>
  </si>
  <si>
    <t>Sale-199</t>
  </si>
  <si>
    <t>Sale-200</t>
  </si>
  <si>
    <t>Sale-201</t>
  </si>
  <si>
    <t>Sale-202</t>
  </si>
  <si>
    <t>Sale-203</t>
  </si>
  <si>
    <t>Sale-204</t>
  </si>
  <si>
    <t>Sale-205</t>
  </si>
  <si>
    <t>Sale-206</t>
  </si>
  <si>
    <t>Sale-207</t>
  </si>
  <si>
    <t>Sale-208</t>
  </si>
  <si>
    <t>Sale-209</t>
  </si>
  <si>
    <t>Sale-210</t>
  </si>
  <si>
    <t>Sale-211</t>
  </si>
  <si>
    <t>Sale-212</t>
  </si>
  <si>
    <t>Sale-213</t>
  </si>
  <si>
    <t>Sale-214</t>
  </si>
  <si>
    <t>Sale-215</t>
  </si>
  <si>
    <t>Sale-216</t>
  </si>
  <si>
    <t>Sale-217</t>
  </si>
  <si>
    <t>Sale-218</t>
  </si>
  <si>
    <t>Sale-219</t>
  </si>
  <si>
    <t>Sale-220</t>
  </si>
  <si>
    <t>Sale-221</t>
  </si>
  <si>
    <t>Sale-222</t>
  </si>
  <si>
    <t>Sale-223</t>
  </si>
  <si>
    <t>Sale-224</t>
  </si>
  <si>
    <t>Sale-225</t>
  </si>
  <si>
    <t>Sale-226</t>
  </si>
  <si>
    <t>Sale-227</t>
  </si>
  <si>
    <t>Sale-228</t>
  </si>
  <si>
    <t>Sale-229</t>
  </si>
  <si>
    <t>Sale-230</t>
  </si>
  <si>
    <t>Sale-231</t>
  </si>
  <si>
    <t>Sale-232</t>
  </si>
  <si>
    <t>Sale-233</t>
  </si>
  <si>
    <t>Sale-234</t>
  </si>
  <si>
    <t>Sale-235</t>
  </si>
  <si>
    <t>Sale-236</t>
  </si>
  <si>
    <t>Sale-237</t>
  </si>
  <si>
    <t>Sale-238</t>
  </si>
  <si>
    <t>Sale-239</t>
  </si>
  <si>
    <t>Sale-240</t>
  </si>
  <si>
    <t>Sale-241</t>
  </si>
  <si>
    <t>Sale-242</t>
  </si>
  <si>
    <t>Sale-243</t>
  </si>
  <si>
    <t>Sale-244</t>
  </si>
  <si>
    <t>Sale-245</t>
  </si>
  <si>
    <t>Sale-246</t>
  </si>
  <si>
    <t>Sale-247</t>
  </si>
  <si>
    <t>Sale-248</t>
  </si>
  <si>
    <t>Sale-249</t>
  </si>
  <si>
    <t>Sale-250</t>
  </si>
  <si>
    <t>Sale-251</t>
  </si>
  <si>
    <t>Sale-252</t>
  </si>
  <si>
    <t>Sale-253</t>
  </si>
  <si>
    <t>Sale-254</t>
  </si>
  <si>
    <t>Sale-255</t>
  </si>
  <si>
    <t>Sale-256</t>
  </si>
  <si>
    <t>Sale-257</t>
  </si>
  <si>
    <t>Sale-258</t>
  </si>
  <si>
    <t>Sale-259</t>
  </si>
  <si>
    <t>Sale-260</t>
  </si>
  <si>
    <t>Sale-261</t>
  </si>
  <si>
    <t>Sale-262</t>
  </si>
  <si>
    <t>Sale-263</t>
  </si>
  <si>
    <t>Sale-264</t>
  </si>
  <si>
    <t>Sale-265</t>
  </si>
  <si>
    <t>Sale-266</t>
  </si>
  <si>
    <t>Sale-267</t>
  </si>
  <si>
    <t>Sale-268</t>
  </si>
  <si>
    <t>Sale-269</t>
  </si>
  <si>
    <t>Sale-270</t>
  </si>
  <si>
    <t>Sale-271</t>
  </si>
  <si>
    <t>Sale-272</t>
  </si>
  <si>
    <t>Sale-273</t>
  </si>
  <si>
    <t>Sale-274</t>
  </si>
  <si>
    <t>Sale-275</t>
  </si>
  <si>
    <t>Sale-276</t>
  </si>
  <si>
    <t>Sale-277</t>
  </si>
  <si>
    <t>Sale-278</t>
  </si>
  <si>
    <t>Sale-279</t>
  </si>
  <si>
    <t>Sale-280</t>
  </si>
  <si>
    <t>Sale-281</t>
  </si>
  <si>
    <t>Sale-282</t>
  </si>
  <si>
    <t>Sale-283</t>
  </si>
  <si>
    <t>Sale-284</t>
  </si>
  <si>
    <t>Sale-285</t>
  </si>
  <si>
    <t>Sale-286</t>
  </si>
  <si>
    <t>Sale-287</t>
  </si>
  <si>
    <t>Sale-288</t>
  </si>
  <si>
    <t>Sale-289</t>
  </si>
  <si>
    <t>Sale-290</t>
  </si>
  <si>
    <t>Sale-291</t>
  </si>
  <si>
    <t>Sale-292</t>
  </si>
  <si>
    <t>Sale-293</t>
  </si>
  <si>
    <t>Sale-294</t>
  </si>
  <si>
    <t>Sale-295</t>
  </si>
  <si>
    <t>Sale-296</t>
  </si>
  <si>
    <t>Sale-297</t>
  </si>
  <si>
    <t>Sale-298</t>
  </si>
  <si>
    <t>Sale-299</t>
  </si>
  <si>
    <t>Sale-300</t>
  </si>
  <si>
    <t>Sale-301</t>
  </si>
  <si>
    <t>Sale-302</t>
  </si>
  <si>
    <t>Sale-303</t>
  </si>
  <si>
    <t>Sale-304</t>
  </si>
  <si>
    <t>Sale-305</t>
  </si>
  <si>
    <t>Sale-306</t>
  </si>
  <si>
    <t>Sale-307</t>
  </si>
  <si>
    <t>Sale-308</t>
  </si>
  <si>
    <t>Sale-309</t>
  </si>
  <si>
    <t>Sale-310</t>
  </si>
  <si>
    <t>Sale-311</t>
  </si>
  <si>
    <t>Sale-312</t>
  </si>
  <si>
    <t>Sale-313</t>
  </si>
  <si>
    <t>Sale-314</t>
  </si>
  <si>
    <t>Sale-315</t>
  </si>
  <si>
    <t>Sale-316</t>
  </si>
  <si>
    <t>Sale-317</t>
  </si>
  <si>
    <t>Sale-318</t>
  </si>
  <si>
    <t>Sale-319</t>
  </si>
  <si>
    <t>Sale-320</t>
  </si>
  <si>
    <t>Sale-321</t>
  </si>
  <si>
    <t>Sale-322</t>
  </si>
  <si>
    <t>Sale-323</t>
  </si>
  <si>
    <t>Sale-324</t>
  </si>
  <si>
    <t>Sale-325</t>
  </si>
  <si>
    <t>Sale-326</t>
  </si>
  <si>
    <t>Sale-327</t>
  </si>
  <si>
    <t>Sale-328</t>
  </si>
  <si>
    <t>Sale-329</t>
  </si>
  <si>
    <t>Sale-330</t>
  </si>
  <si>
    <t>Sale-331</t>
  </si>
  <si>
    <t>Sale-332</t>
  </si>
  <si>
    <t>Sale-333</t>
  </si>
  <si>
    <t>Sale-334</t>
  </si>
  <si>
    <t>Sale-335</t>
  </si>
  <si>
    <t>Sale-336</t>
  </si>
  <si>
    <t>Sale-337</t>
  </si>
  <si>
    <t>Sale-338</t>
  </si>
  <si>
    <t>Sale-339</t>
  </si>
  <si>
    <t>Sale-340</t>
  </si>
  <si>
    <t>Sale-341</t>
  </si>
  <si>
    <t>Sale-342</t>
  </si>
  <si>
    <t>Sale-343</t>
  </si>
  <si>
    <t>Sale-344</t>
  </si>
  <si>
    <t>Sale-345</t>
  </si>
  <si>
    <t>Sale-346</t>
  </si>
  <si>
    <t>Sale-347</t>
  </si>
  <si>
    <t>Sale-348</t>
  </si>
  <si>
    <t>Sale-349</t>
  </si>
  <si>
    <t>Sale-350</t>
  </si>
  <si>
    <t>Sale-351</t>
  </si>
  <si>
    <t>Sale-352</t>
  </si>
  <si>
    <t>Sale-353</t>
  </si>
  <si>
    <t>Sale-354</t>
  </si>
  <si>
    <t>Sale-355</t>
  </si>
  <si>
    <t>Sale-356</t>
  </si>
  <si>
    <t>Sale-357</t>
  </si>
  <si>
    <t>Sale-358</t>
  </si>
  <si>
    <t>Sale-359</t>
  </si>
  <si>
    <t>Sale-360</t>
  </si>
  <si>
    <t>Sale-361</t>
  </si>
  <si>
    <t>Sale-362</t>
  </si>
  <si>
    <t>Sale-363</t>
  </si>
  <si>
    <t>Sale-364</t>
  </si>
  <si>
    <t>Sale-365</t>
  </si>
  <si>
    <t>Sale-366</t>
  </si>
  <si>
    <t>Sale-367</t>
  </si>
  <si>
    <t>Sale-368</t>
  </si>
  <si>
    <t>Sale-369</t>
  </si>
  <si>
    <t>Sale-370</t>
  </si>
  <si>
    <t>Sale-371</t>
  </si>
  <si>
    <t>Sale-372</t>
  </si>
  <si>
    <t>Sale-373</t>
  </si>
  <si>
    <t>Sale-374</t>
  </si>
  <si>
    <t>Sale-375</t>
  </si>
  <si>
    <t>Sale-376</t>
  </si>
  <si>
    <t>Sale-377</t>
  </si>
  <si>
    <t>Sale-378</t>
  </si>
  <si>
    <t>Sale-379</t>
  </si>
  <si>
    <t>Sale-380</t>
  </si>
  <si>
    <t>Sale-381</t>
  </si>
  <si>
    <t>Sale-382</t>
  </si>
  <si>
    <t>Sale-383</t>
  </si>
  <si>
    <t>Sale-384</t>
  </si>
  <si>
    <t>Sale-385</t>
  </si>
  <si>
    <t>Sale-386</t>
  </si>
  <si>
    <t>Sale-387</t>
  </si>
  <si>
    <t>Sale-388</t>
  </si>
  <si>
    <t>Sale-389</t>
  </si>
  <si>
    <t>Sale-390</t>
  </si>
  <si>
    <t>Sale-391</t>
  </si>
  <si>
    <t>Sale-392</t>
  </si>
  <si>
    <t>Sale-393</t>
  </si>
  <si>
    <t>Sale-394</t>
  </si>
  <si>
    <t>Sale-395</t>
  </si>
  <si>
    <t>Sale-396</t>
  </si>
  <si>
    <t>Sale-397</t>
  </si>
  <si>
    <t>Sale-398</t>
  </si>
  <si>
    <t>Sale-399</t>
  </si>
  <si>
    <t>Sale-400</t>
  </si>
  <si>
    <t>Sale-401</t>
  </si>
  <si>
    <t>Sale-402</t>
  </si>
  <si>
    <t>Sale-403</t>
  </si>
  <si>
    <t>Sale-404</t>
  </si>
  <si>
    <t>Sale-405</t>
  </si>
  <si>
    <t>Sale-406</t>
  </si>
  <si>
    <t>Sale-407</t>
  </si>
  <si>
    <t>Sale-408</t>
  </si>
  <si>
    <t>Sale-409</t>
  </si>
  <si>
    <t>Sale-410</t>
  </si>
  <si>
    <t>Sale-411</t>
  </si>
  <si>
    <t>Sale-412</t>
  </si>
  <si>
    <t>Sale-413</t>
  </si>
  <si>
    <t>Sale-414</t>
  </si>
  <si>
    <t>Sale-415</t>
  </si>
  <si>
    <t>Sale-416</t>
  </si>
  <si>
    <t>Sale-417</t>
  </si>
  <si>
    <t>Sale-418</t>
  </si>
  <si>
    <t>Sale-419</t>
  </si>
  <si>
    <t>Sale-420</t>
  </si>
  <si>
    <t>Sale-421</t>
  </si>
  <si>
    <t>Sale-422</t>
  </si>
  <si>
    <t>Sale-423</t>
  </si>
  <si>
    <t>Sale-424</t>
  </si>
  <si>
    <t>Sale-425</t>
  </si>
  <si>
    <t>Sale-426</t>
  </si>
  <si>
    <t>Sale-427</t>
  </si>
  <si>
    <t>Sale-428</t>
  </si>
  <si>
    <t>Sale-429</t>
  </si>
  <si>
    <t>Sale-430</t>
  </si>
  <si>
    <t>Sale-431</t>
  </si>
  <si>
    <t>Sale-432</t>
  </si>
  <si>
    <t>Sale-433</t>
  </si>
  <si>
    <t>Sale-434</t>
  </si>
  <si>
    <t>Sale-435</t>
  </si>
  <si>
    <t>Sale-436</t>
  </si>
  <si>
    <t>Sale-437</t>
  </si>
  <si>
    <t>Sale-438</t>
  </si>
  <si>
    <t>Sale-439</t>
  </si>
  <si>
    <t>Sale-440</t>
  </si>
  <si>
    <t>Sale-441</t>
  </si>
  <si>
    <t>Sale-442</t>
  </si>
  <si>
    <t>Sale-443</t>
  </si>
  <si>
    <t>Sale-444</t>
  </si>
  <si>
    <t>Sale-445</t>
  </si>
  <si>
    <t>Sale-446</t>
  </si>
  <si>
    <t>Sale-447</t>
  </si>
  <si>
    <t>Sale-448</t>
  </si>
  <si>
    <t>Sale-449</t>
  </si>
  <si>
    <t>empl_050</t>
  </si>
  <si>
    <t>ON_LEAVE</t>
  </si>
  <si>
    <t>empl_051</t>
  </si>
  <si>
    <t>empl_052</t>
  </si>
  <si>
    <t>empl_053</t>
  </si>
  <si>
    <t>empl_054</t>
  </si>
  <si>
    <t>empl_055</t>
  </si>
  <si>
    <t>empl_056</t>
  </si>
  <si>
    <t>empl_057</t>
  </si>
  <si>
    <t>empl_058</t>
  </si>
  <si>
    <t>empl_059</t>
  </si>
  <si>
    <t>empl_060</t>
  </si>
  <si>
    <t>empl_061</t>
  </si>
  <si>
    <t>empl_062</t>
  </si>
  <si>
    <t>empl_063</t>
  </si>
  <si>
    <t>empl_064</t>
  </si>
  <si>
    <t>empl_065</t>
  </si>
  <si>
    <t>empl_066</t>
  </si>
  <si>
    <t>empl_067</t>
  </si>
  <si>
    <t>empl_068</t>
  </si>
  <si>
    <t>empl_069</t>
  </si>
  <si>
    <t>empl_070</t>
  </si>
  <si>
    <t>empl_071</t>
  </si>
  <si>
    <t>empl_072</t>
  </si>
  <si>
    <t>empl_073</t>
  </si>
  <si>
    <t>empl_074</t>
  </si>
  <si>
    <t>empl_075</t>
  </si>
  <si>
    <t>empl_076</t>
  </si>
  <si>
    <t>empl_077</t>
  </si>
  <si>
    <t>empl_078</t>
  </si>
  <si>
    <t>empl_079</t>
  </si>
  <si>
    <t>empl_080</t>
  </si>
  <si>
    <t>empl_081</t>
  </si>
  <si>
    <t>empl_082</t>
  </si>
  <si>
    <t>empl_083</t>
  </si>
  <si>
    <t>empl_084</t>
  </si>
  <si>
    <t>empl_085</t>
  </si>
  <si>
    <t>empl_086</t>
  </si>
  <si>
    <t>empl_087</t>
  </si>
  <si>
    <t>empl_088</t>
  </si>
  <si>
    <t>empl_089</t>
  </si>
  <si>
    <t>empl_090</t>
  </si>
  <si>
    <t>empl_091</t>
  </si>
  <si>
    <t>empl_092</t>
  </si>
  <si>
    <t>empl_093</t>
  </si>
  <si>
    <t>empl_094</t>
  </si>
  <si>
    <t>empl_095</t>
  </si>
  <si>
    <t>empl_096</t>
  </si>
  <si>
    <t>empl_097</t>
  </si>
  <si>
    <t>empl_098</t>
  </si>
  <si>
    <t>empl_099</t>
  </si>
  <si>
    <t>empl_100</t>
  </si>
  <si>
    <t>String</t>
  </si>
  <si>
    <t>Number</t>
  </si>
  <si>
    <t>Date</t>
  </si>
  <si>
    <t>Manager_salary</t>
  </si>
  <si>
    <t>Sale-450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</si>
</sst>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000&quot;"/>
    <numFmt numFmtId="165" formatCode="[$-409]d\-mmm\-yy;@"/>
    <numFmt numFmtId="166" formatCode="&quot;$&quot;#,##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sz val="8"/>
      <name val="Arial"/>
    </font>
    <font>
      <sz val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5" fillId="0" borderId="0"/>
    <xf numFmtId="9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1" fillId="0" borderId="0" xfId="0" applyFont="1"/>
    <xf numFmtId="2" fontId="21" fillId="0" borderId="0" xfId="0" applyNumberFormat="1" applyFont="1"/>
    <xf numFmtId="164" fontId="21" fillId="0" borderId="0" xfId="0" applyNumberFormat="1" applyFont="1"/>
    <xf numFmtId="164" fontId="0" fillId="0" borderId="0" xfId="0" applyNumberFormat="1"/>
    <xf numFmtId="1" fontId="21" fillId="0" borderId="0" xfId="0" applyNumberFormat="1" applyFont="1"/>
    <xf numFmtId="1" fontId="0" fillId="0" borderId="0" xfId="0" applyNumberFormat="1"/>
    <xf numFmtId="44" fontId="21" fillId="0" borderId="0" xfId="0" applyNumberFormat="1" applyFont="1"/>
    <xf numFmtId="9" fontId="21" fillId="0" borderId="0" xfId="0" applyNumberFormat="1" applyFont="1"/>
    <xf numFmtId="9" fontId="0" fillId="0" borderId="0" xfId="0" applyNumberFormat="1"/>
    <xf numFmtId="44" fontId="0" fillId="0" borderId="0" xfId="0" applyNumberFormat="1"/>
    <xf numFmtId="165" fontId="21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21" fillId="0" borderId="0" xfId="0" applyNumberFormat="1" applyFont="1"/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25000000}"/>
    <cellStyle name="Normal 3" xfId="44" xr:uid="{00000000-0005-0000-0000-000026000000}"/>
    <cellStyle name="Note" xfId="37" builtinId="10" customBuiltin="1"/>
    <cellStyle name="Output" xfId="38" builtinId="21" customBuiltin="1"/>
    <cellStyle name="Percent 2" xfId="43" xr:uid="{00000000-0005-0000-0000-000029000000}"/>
    <cellStyle name="Percent 3" xfId="45" xr:uid="{00000000-0005-0000-0000-00002A000000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3.2" x14ac:dyDescent="0.25"/>
  <sheetData>
    <row r="1" spans="1:6" x14ac:dyDescent="0.25">
      <c r="A1" t="s">
        <v>0</v>
      </c>
      <c r="C1" t="s">
        <v>862</v>
      </c>
      <c r="F1" t="s">
        <v>243</v>
      </c>
    </row>
    <row r="2" spans="1:6" x14ac:dyDescent="0.25">
      <c r="A2" t="s">
        <v>1</v>
      </c>
      <c r="C2" t="s">
        <v>863</v>
      </c>
      <c r="F2" t="s">
        <v>244</v>
      </c>
    </row>
    <row r="3" spans="1:6" x14ac:dyDescent="0.25">
      <c r="A3" t="s">
        <v>2</v>
      </c>
      <c r="C3" t="s">
        <v>864</v>
      </c>
      <c r="F3" t="s">
        <v>245</v>
      </c>
    </row>
    <row r="4" spans="1:6" x14ac:dyDescent="0.25">
      <c r="A4" t="s">
        <v>3</v>
      </c>
      <c r="C4" t="s">
        <v>865</v>
      </c>
      <c r="F4" t="s">
        <v>246</v>
      </c>
    </row>
    <row r="5" spans="1:6" x14ac:dyDescent="0.25">
      <c r="A5" t="s">
        <v>4</v>
      </c>
      <c r="C5" t="s">
        <v>866</v>
      </c>
      <c r="F5" t="s">
        <v>247</v>
      </c>
    </row>
    <row r="6" spans="1:6" x14ac:dyDescent="0.25">
      <c r="A6" t="s">
        <v>5</v>
      </c>
      <c r="C6" t="s">
        <v>867</v>
      </c>
      <c r="F6" t="s">
        <v>248</v>
      </c>
    </row>
    <row r="7" spans="1:6" x14ac:dyDescent="0.25">
      <c r="A7" t="s">
        <v>6</v>
      </c>
      <c r="C7" t="s">
        <v>868</v>
      </c>
      <c r="F7" t="s">
        <v>249</v>
      </c>
    </row>
    <row r="8" spans="1:6" x14ac:dyDescent="0.25">
      <c r="A8" t="s">
        <v>7</v>
      </c>
      <c r="C8" t="s">
        <v>869</v>
      </c>
      <c r="F8" t="s">
        <v>250</v>
      </c>
    </row>
    <row r="9" spans="1:6" x14ac:dyDescent="0.25">
      <c r="A9" t="s">
        <v>8</v>
      </c>
      <c r="C9" t="s">
        <v>870</v>
      </c>
      <c r="F9" t="s">
        <v>251</v>
      </c>
    </row>
    <row r="10" spans="1:6" x14ac:dyDescent="0.25">
      <c r="A10" t="s">
        <v>9</v>
      </c>
      <c r="C10" t="s">
        <v>871</v>
      </c>
      <c r="F10" t="s">
        <v>252</v>
      </c>
    </row>
    <row r="11" spans="1:6" x14ac:dyDescent="0.25">
      <c r="A11" t="s">
        <v>10</v>
      </c>
      <c r="C11" t="s">
        <v>872</v>
      </c>
      <c r="F11" t="s">
        <v>253</v>
      </c>
    </row>
    <row r="12" spans="1:6" x14ac:dyDescent="0.25">
      <c r="A12" t="s">
        <v>11</v>
      </c>
      <c r="C12" t="s">
        <v>873</v>
      </c>
      <c r="F12" t="s">
        <v>254</v>
      </c>
    </row>
    <row r="13" spans="1:6" x14ac:dyDescent="0.25">
      <c r="A13" t="s">
        <v>12</v>
      </c>
      <c r="C13" t="s">
        <v>874</v>
      </c>
      <c r="F13" t="s">
        <v>255</v>
      </c>
    </row>
    <row r="14" spans="1:6" x14ac:dyDescent="0.25">
      <c r="A14" t="s">
        <v>13</v>
      </c>
      <c r="C14" t="s">
        <v>875</v>
      </c>
      <c r="F14" t="s">
        <v>256</v>
      </c>
    </row>
    <row r="15" spans="1:6" x14ac:dyDescent="0.25">
      <c r="A15" t="s">
        <v>14</v>
      </c>
      <c r="C15" t="s">
        <v>876</v>
      </c>
      <c r="F15" t="s">
        <v>257</v>
      </c>
    </row>
    <row r="16" spans="1:6" x14ac:dyDescent="0.25">
      <c r="A16" t="s">
        <v>15</v>
      </c>
      <c r="C16" t="s">
        <v>877</v>
      </c>
      <c r="F16" t="s">
        <v>258</v>
      </c>
    </row>
    <row r="17" spans="1:6" x14ac:dyDescent="0.25">
      <c r="A17" t="s">
        <v>16</v>
      </c>
      <c r="C17" t="s">
        <v>878</v>
      </c>
      <c r="F17" t="s">
        <v>259</v>
      </c>
    </row>
    <row r="18" spans="1:6" x14ac:dyDescent="0.25">
      <c r="A18" t="s">
        <v>17</v>
      </c>
      <c r="C18" t="s">
        <v>879</v>
      </c>
      <c r="F18" t="s">
        <v>260</v>
      </c>
    </row>
    <row r="19" spans="1:6" x14ac:dyDescent="0.25">
      <c r="A19" t="s">
        <v>18</v>
      </c>
      <c r="C19" t="s">
        <v>880</v>
      </c>
      <c r="F19" t="s">
        <v>261</v>
      </c>
    </row>
    <row r="20" spans="1:6" x14ac:dyDescent="0.25">
      <c r="A20" t="s">
        <v>19</v>
      </c>
      <c r="C20" t="s">
        <v>881</v>
      </c>
      <c r="F20" t="s">
        <v>262</v>
      </c>
    </row>
    <row r="21" spans="1:6" x14ac:dyDescent="0.25">
      <c r="A21" t="s">
        <v>20</v>
      </c>
      <c r="C21" t="s">
        <v>882</v>
      </c>
      <c r="F21" t="s">
        <v>263</v>
      </c>
    </row>
    <row r="22" spans="1:6" x14ac:dyDescent="0.25">
      <c r="A22" t="s">
        <v>21</v>
      </c>
      <c r="C22" t="s">
        <v>883</v>
      </c>
      <c r="F22" t="s">
        <v>264</v>
      </c>
    </row>
    <row r="23" spans="1:6" x14ac:dyDescent="0.25">
      <c r="A23" t="s">
        <v>22</v>
      </c>
      <c r="C23" t="s">
        <v>884</v>
      </c>
      <c r="F23" t="s">
        <v>265</v>
      </c>
    </row>
    <row r="24" spans="1:6" x14ac:dyDescent="0.25">
      <c r="A24" t="s">
        <v>23</v>
      </c>
      <c r="C24" t="s">
        <v>885</v>
      </c>
      <c r="F24" t="s">
        <v>266</v>
      </c>
    </row>
    <row r="25" spans="1:6" x14ac:dyDescent="0.25">
      <c r="A25" t="s">
        <v>24</v>
      </c>
      <c r="C25" t="s">
        <v>886</v>
      </c>
      <c r="F25" t="s">
        <v>267</v>
      </c>
    </row>
    <row r="26" spans="1:6" x14ac:dyDescent="0.25">
      <c r="A26" t="s">
        <v>25</v>
      </c>
      <c r="C26" t="s">
        <v>887</v>
      </c>
      <c r="F26" t="s">
        <v>268</v>
      </c>
    </row>
    <row r="27" spans="1:6" x14ac:dyDescent="0.25">
      <c r="A27" t="s">
        <v>26</v>
      </c>
      <c r="C27" t="s">
        <v>888</v>
      </c>
      <c r="F27" t="s">
        <v>269</v>
      </c>
    </row>
    <row r="28" spans="1:6" x14ac:dyDescent="0.25">
      <c r="A28" t="s">
        <v>27</v>
      </c>
      <c r="C28" t="s">
        <v>889</v>
      </c>
      <c r="F28" t="s">
        <v>270</v>
      </c>
    </row>
    <row r="29" spans="1:6" x14ac:dyDescent="0.25">
      <c r="A29" t="s">
        <v>28</v>
      </c>
      <c r="C29" t="s">
        <v>890</v>
      </c>
      <c r="F29" t="s">
        <v>271</v>
      </c>
    </row>
    <row r="30" spans="1:6" x14ac:dyDescent="0.25">
      <c r="A30" t="s">
        <v>29</v>
      </c>
      <c r="C30" t="s">
        <v>891</v>
      </c>
      <c r="F30" t="s">
        <v>272</v>
      </c>
    </row>
    <row r="31" spans="1:6" x14ac:dyDescent="0.25">
      <c r="A31" t="s">
        <v>30</v>
      </c>
      <c r="C31" t="s">
        <v>892</v>
      </c>
      <c r="F31" t="s">
        <v>273</v>
      </c>
    </row>
    <row r="32" spans="1:6" x14ac:dyDescent="0.25">
      <c r="A32" t="s">
        <v>31</v>
      </c>
      <c r="C32" t="s">
        <v>893</v>
      </c>
      <c r="F32" t="s">
        <v>229</v>
      </c>
    </row>
    <row r="33" spans="1:6" x14ac:dyDescent="0.25">
      <c r="A33" t="s">
        <v>32</v>
      </c>
      <c r="C33" t="s">
        <v>894</v>
      </c>
      <c r="F33" t="s">
        <v>274</v>
      </c>
    </row>
    <row r="34" spans="1:6" x14ac:dyDescent="0.25">
      <c r="A34" t="s">
        <v>33</v>
      </c>
      <c r="C34" t="s">
        <v>895</v>
      </c>
      <c r="F34" t="s">
        <v>275</v>
      </c>
    </row>
    <row r="35" spans="1:6" x14ac:dyDescent="0.25">
      <c r="A35" t="s">
        <v>34</v>
      </c>
      <c r="C35" t="s">
        <v>896</v>
      </c>
      <c r="F35" t="s">
        <v>276</v>
      </c>
    </row>
    <row r="36" spans="1:6" x14ac:dyDescent="0.25">
      <c r="A36" t="s">
        <v>35</v>
      </c>
      <c r="C36" t="s">
        <v>897</v>
      </c>
      <c r="F36" t="s">
        <v>277</v>
      </c>
    </row>
    <row r="37" spans="1:6" x14ac:dyDescent="0.25">
      <c r="A37" t="s">
        <v>36</v>
      </c>
      <c r="C37" t="s">
        <v>898</v>
      </c>
      <c r="F37" t="s">
        <v>278</v>
      </c>
    </row>
    <row r="38" spans="1:6" x14ac:dyDescent="0.25">
      <c r="A38" t="s">
        <v>37</v>
      </c>
      <c r="C38" t="s">
        <v>899</v>
      </c>
      <c r="F38" t="s">
        <v>279</v>
      </c>
    </row>
    <row r="39" spans="1:6" x14ac:dyDescent="0.25">
      <c r="A39" t="s">
        <v>38</v>
      </c>
      <c r="C39" t="s">
        <v>900</v>
      </c>
      <c r="F39" t="s">
        <v>280</v>
      </c>
    </row>
    <row r="40" spans="1:6" x14ac:dyDescent="0.25">
      <c r="A40" t="s">
        <v>39</v>
      </c>
      <c r="C40" t="s">
        <v>901</v>
      </c>
      <c r="F40" t="s">
        <v>281</v>
      </c>
    </row>
    <row r="41" spans="1:6" x14ac:dyDescent="0.25">
      <c r="A41" t="s">
        <v>40</v>
      </c>
      <c r="C41" t="s">
        <v>902</v>
      </c>
      <c r="F41" t="s">
        <v>282</v>
      </c>
    </row>
    <row r="42" spans="1:6" x14ac:dyDescent="0.25">
      <c r="A42" t="s">
        <v>41</v>
      </c>
      <c r="C42" t="s">
        <v>903</v>
      </c>
      <c r="F42" t="s">
        <v>283</v>
      </c>
    </row>
    <row r="43" spans="1:6" x14ac:dyDescent="0.25">
      <c r="A43" t="s">
        <v>42</v>
      </c>
      <c r="C43" t="s">
        <v>904</v>
      </c>
      <c r="F43" t="s">
        <v>284</v>
      </c>
    </row>
    <row r="44" spans="1:6" x14ac:dyDescent="0.25">
      <c r="A44" t="s">
        <v>43</v>
      </c>
      <c r="C44" t="s">
        <v>905</v>
      </c>
      <c r="F44" t="s">
        <v>285</v>
      </c>
    </row>
    <row r="45" spans="1:6" x14ac:dyDescent="0.25">
      <c r="A45" t="s">
        <v>44</v>
      </c>
      <c r="C45" t="s">
        <v>906</v>
      </c>
      <c r="F45" t="s">
        <v>286</v>
      </c>
    </row>
    <row r="46" spans="1:6" x14ac:dyDescent="0.25">
      <c r="A46" t="s">
        <v>45</v>
      </c>
      <c r="C46" t="s">
        <v>907</v>
      </c>
      <c r="F46" t="s">
        <v>287</v>
      </c>
    </row>
    <row r="47" spans="1:6" x14ac:dyDescent="0.25">
      <c r="A47" t="s">
        <v>46</v>
      </c>
      <c r="C47" t="s">
        <v>908</v>
      </c>
      <c r="F47" t="s">
        <v>288</v>
      </c>
    </row>
    <row r="48" spans="1:6" x14ac:dyDescent="0.25">
      <c r="A48" t="s">
        <v>47</v>
      </c>
      <c r="C48" t="s">
        <v>909</v>
      </c>
      <c r="F48" t="s">
        <v>289</v>
      </c>
    </row>
    <row r="49" spans="1:6" x14ac:dyDescent="0.25">
      <c r="A49" t="s">
        <v>48</v>
      </c>
      <c r="C49" t="s">
        <v>910</v>
      </c>
      <c r="F49" t="s">
        <v>290</v>
      </c>
    </row>
    <row r="50" spans="1:6" x14ac:dyDescent="0.25">
      <c r="A50" t="s">
        <v>49</v>
      </c>
      <c r="C50" t="s">
        <v>911</v>
      </c>
      <c r="F50" t="s">
        <v>291</v>
      </c>
    </row>
    <row r="51" spans="1:6" x14ac:dyDescent="0.25">
      <c r="A51" t="s">
        <v>50</v>
      </c>
      <c r="C51" t="s">
        <v>912</v>
      </c>
      <c r="F51" t="s">
        <v>292</v>
      </c>
    </row>
    <row r="52" spans="1:6" x14ac:dyDescent="0.25">
      <c r="A52" t="s">
        <v>51</v>
      </c>
      <c r="C52" t="s">
        <v>913</v>
      </c>
      <c r="F52" t="s">
        <v>293</v>
      </c>
    </row>
    <row r="53" spans="1:6" x14ac:dyDescent="0.25">
      <c r="A53" t="s">
        <v>52</v>
      </c>
      <c r="C53" t="s">
        <v>914</v>
      </c>
      <c r="F53" t="s">
        <v>294</v>
      </c>
    </row>
    <row r="54" spans="1:6" x14ac:dyDescent="0.25">
      <c r="A54" t="s">
        <v>53</v>
      </c>
      <c r="C54" t="s">
        <v>915</v>
      </c>
      <c r="F54" t="s">
        <v>295</v>
      </c>
    </row>
    <row r="55" spans="1:6" x14ac:dyDescent="0.25">
      <c r="A55" t="s">
        <v>54</v>
      </c>
      <c r="C55" t="s">
        <v>916</v>
      </c>
      <c r="F55" t="s">
        <v>296</v>
      </c>
    </row>
    <row r="56" spans="1:6" x14ac:dyDescent="0.25">
      <c r="A56" t="s">
        <v>55</v>
      </c>
      <c r="C56" t="s">
        <v>917</v>
      </c>
      <c r="F56" t="s">
        <v>297</v>
      </c>
    </row>
    <row r="57" spans="1:6" x14ac:dyDescent="0.25">
      <c r="A57" t="s">
        <v>56</v>
      </c>
      <c r="C57" t="s">
        <v>918</v>
      </c>
      <c r="F57" t="s">
        <v>298</v>
      </c>
    </row>
    <row r="58" spans="1:6" x14ac:dyDescent="0.25">
      <c r="A58" t="s">
        <v>57</v>
      </c>
      <c r="C58" t="s">
        <v>919</v>
      </c>
      <c r="F58" t="s">
        <v>299</v>
      </c>
    </row>
    <row r="59" spans="1:6" x14ac:dyDescent="0.25">
      <c r="A59" t="s">
        <v>58</v>
      </c>
      <c r="C59" t="s">
        <v>920</v>
      </c>
      <c r="F59" t="s">
        <v>300</v>
      </c>
    </row>
    <row r="60" spans="1:6" x14ac:dyDescent="0.25">
      <c r="A60" t="s">
        <v>59</v>
      </c>
      <c r="C60" t="s">
        <v>921</v>
      </c>
      <c r="F60" t="s">
        <v>301</v>
      </c>
    </row>
    <row r="61" spans="1:6" x14ac:dyDescent="0.25">
      <c r="A61" t="s">
        <v>60</v>
      </c>
      <c r="C61" t="s">
        <v>922</v>
      </c>
      <c r="F61" t="s">
        <v>302</v>
      </c>
    </row>
    <row r="62" spans="1:6" x14ac:dyDescent="0.25">
      <c r="A62" t="s">
        <v>61</v>
      </c>
      <c r="C62" t="s">
        <v>923</v>
      </c>
      <c r="F62" t="s">
        <v>303</v>
      </c>
    </row>
    <row r="63" spans="1:6" x14ac:dyDescent="0.25">
      <c r="A63" t="s">
        <v>62</v>
      </c>
      <c r="C63" t="s">
        <v>924</v>
      </c>
      <c r="F63" t="s">
        <v>304</v>
      </c>
    </row>
    <row r="64" spans="1:6" x14ac:dyDescent="0.25">
      <c r="A64" t="s">
        <v>63</v>
      </c>
      <c r="C64" t="s">
        <v>925</v>
      </c>
      <c r="F64" t="s">
        <v>305</v>
      </c>
    </row>
    <row r="65" spans="1:6" x14ac:dyDescent="0.25">
      <c r="A65" t="s">
        <v>64</v>
      </c>
      <c r="C65" t="s">
        <v>926</v>
      </c>
      <c r="F65" t="s">
        <v>306</v>
      </c>
    </row>
    <row r="66" spans="1:6" x14ac:dyDescent="0.25">
      <c r="A66" t="s">
        <v>65</v>
      </c>
      <c r="C66" t="s">
        <v>927</v>
      </c>
      <c r="F66" t="s">
        <v>307</v>
      </c>
    </row>
    <row r="67" spans="1:6" x14ac:dyDescent="0.25">
      <c r="A67" t="s">
        <v>66</v>
      </c>
      <c r="C67" t="s">
        <v>928</v>
      </c>
      <c r="F67" t="s">
        <v>308</v>
      </c>
    </row>
    <row r="68" spans="1:6" x14ac:dyDescent="0.25">
      <c r="A68" t="s">
        <v>67</v>
      </c>
      <c r="C68" t="s">
        <v>929</v>
      </c>
      <c r="F68" t="s">
        <v>309</v>
      </c>
    </row>
    <row r="69" spans="1:6" x14ac:dyDescent="0.25">
      <c r="A69" t="s">
        <v>68</v>
      </c>
      <c r="C69" t="s">
        <v>930</v>
      </c>
      <c r="F69" t="s">
        <v>310</v>
      </c>
    </row>
    <row r="70" spans="1:6" x14ac:dyDescent="0.25">
      <c r="A70" t="s">
        <v>69</v>
      </c>
      <c r="C70" t="s">
        <v>931</v>
      </c>
      <c r="F70" t="s">
        <v>311</v>
      </c>
    </row>
    <row r="71" spans="1:6" x14ac:dyDescent="0.25">
      <c r="A71" t="s">
        <v>70</v>
      </c>
      <c r="C71" t="s">
        <v>932</v>
      </c>
      <c r="F71" t="s">
        <v>312</v>
      </c>
    </row>
    <row r="72" spans="1:6" x14ac:dyDescent="0.25">
      <c r="A72" t="s">
        <v>71</v>
      </c>
      <c r="C72" t="s">
        <v>933</v>
      </c>
      <c r="F72" t="s">
        <v>313</v>
      </c>
    </row>
    <row r="73" spans="1:6" x14ac:dyDescent="0.25">
      <c r="A73" t="s">
        <v>72</v>
      </c>
      <c r="C73" t="s">
        <v>934</v>
      </c>
      <c r="F73" t="s">
        <v>314</v>
      </c>
    </row>
    <row r="74" spans="1:6" x14ac:dyDescent="0.25">
      <c r="A74" t="s">
        <v>73</v>
      </c>
      <c r="C74" t="s">
        <v>935</v>
      </c>
      <c r="F74" t="s">
        <v>315</v>
      </c>
    </row>
    <row r="75" spans="1:6" x14ac:dyDescent="0.25">
      <c r="A75" t="s">
        <v>74</v>
      </c>
      <c r="C75" t="s">
        <v>936</v>
      </c>
      <c r="F75" t="s">
        <v>316</v>
      </c>
    </row>
    <row r="76" spans="1:6" x14ac:dyDescent="0.25">
      <c r="A76" t="s">
        <v>75</v>
      </c>
      <c r="C76" t="s">
        <v>937</v>
      </c>
      <c r="F76" t="s">
        <v>317</v>
      </c>
    </row>
    <row r="77" spans="1:6" x14ac:dyDescent="0.25">
      <c r="A77" t="s">
        <v>76</v>
      </c>
      <c r="C77" t="s">
        <v>938</v>
      </c>
      <c r="F77" t="s">
        <v>318</v>
      </c>
    </row>
    <row r="78" spans="1:6" x14ac:dyDescent="0.25">
      <c r="A78" t="s">
        <v>77</v>
      </c>
      <c r="C78" t="s">
        <v>939</v>
      </c>
      <c r="F78" t="s">
        <v>319</v>
      </c>
    </row>
    <row r="79" spans="1:6" x14ac:dyDescent="0.25">
      <c r="A79" t="s">
        <v>78</v>
      </c>
      <c r="C79" t="s">
        <v>940</v>
      </c>
      <c r="F79" t="s">
        <v>320</v>
      </c>
    </row>
    <row r="80" spans="1:6" x14ac:dyDescent="0.25">
      <c r="A80" t="s">
        <v>79</v>
      </c>
      <c r="C80" t="s">
        <v>941</v>
      </c>
      <c r="F80" t="s">
        <v>321</v>
      </c>
    </row>
    <row r="81" spans="1:6" x14ac:dyDescent="0.25">
      <c r="A81" t="s">
        <v>80</v>
      </c>
      <c r="C81" t="s">
        <v>942</v>
      </c>
      <c r="F81" t="s">
        <v>322</v>
      </c>
    </row>
    <row r="82" spans="1:6" x14ac:dyDescent="0.25">
      <c r="A82" t="s">
        <v>81</v>
      </c>
      <c r="C82" t="s">
        <v>943</v>
      </c>
      <c r="F82" t="s">
        <v>323</v>
      </c>
    </row>
    <row r="83" spans="1:6" x14ac:dyDescent="0.25">
      <c r="A83" t="s">
        <v>82</v>
      </c>
      <c r="C83" t="s">
        <v>944</v>
      </c>
      <c r="F83" t="s">
        <v>324</v>
      </c>
    </row>
    <row r="84" spans="1:6" x14ac:dyDescent="0.25">
      <c r="A84" t="s">
        <v>83</v>
      </c>
      <c r="C84" t="s">
        <v>945</v>
      </c>
      <c r="F84" t="s">
        <v>325</v>
      </c>
    </row>
    <row r="85" spans="1:6" x14ac:dyDescent="0.25">
      <c r="A85" t="s">
        <v>84</v>
      </c>
      <c r="C85" t="s">
        <v>946</v>
      </c>
      <c r="F85" t="s">
        <v>326</v>
      </c>
    </row>
    <row r="86" spans="1:6" x14ac:dyDescent="0.25">
      <c r="A86" t="s">
        <v>85</v>
      </c>
      <c r="C86" t="s">
        <v>947</v>
      </c>
      <c r="F86" t="s">
        <v>327</v>
      </c>
    </row>
    <row r="87" spans="1:6" x14ac:dyDescent="0.25">
      <c r="A87" t="s">
        <v>86</v>
      </c>
      <c r="C87" t="s">
        <v>948</v>
      </c>
      <c r="F87" t="s">
        <v>13</v>
      </c>
    </row>
    <row r="88" spans="1:6" x14ac:dyDescent="0.25">
      <c r="A88" t="s">
        <v>87</v>
      </c>
      <c r="C88" t="s">
        <v>949</v>
      </c>
      <c r="F88" t="s">
        <v>328</v>
      </c>
    </row>
    <row r="89" spans="1:6" x14ac:dyDescent="0.25">
      <c r="A89" t="s">
        <v>88</v>
      </c>
      <c r="C89" t="s">
        <v>950</v>
      </c>
      <c r="F89" t="s">
        <v>329</v>
      </c>
    </row>
    <row r="90" spans="1:6" x14ac:dyDescent="0.25">
      <c r="A90" t="s">
        <v>89</v>
      </c>
      <c r="C90" t="s">
        <v>951</v>
      </c>
      <c r="F90" t="s">
        <v>330</v>
      </c>
    </row>
    <row r="91" spans="1:6" x14ac:dyDescent="0.25">
      <c r="A91" t="s">
        <v>90</v>
      </c>
      <c r="C91" t="s">
        <v>952</v>
      </c>
      <c r="F91" t="s">
        <v>331</v>
      </c>
    </row>
    <row r="92" spans="1:6" x14ac:dyDescent="0.25">
      <c r="A92" t="s">
        <v>91</v>
      </c>
      <c r="C92" t="s">
        <v>953</v>
      </c>
      <c r="F92" t="s">
        <v>332</v>
      </c>
    </row>
    <row r="93" spans="1:6" x14ac:dyDescent="0.25">
      <c r="A93" t="s">
        <v>92</v>
      </c>
      <c r="C93" t="s">
        <v>954</v>
      </c>
      <c r="F93" t="s">
        <v>333</v>
      </c>
    </row>
    <row r="94" spans="1:6" x14ac:dyDescent="0.25">
      <c r="A94" t="s">
        <v>93</v>
      </c>
      <c r="C94" t="s">
        <v>955</v>
      </c>
      <c r="F94" t="s">
        <v>334</v>
      </c>
    </row>
    <row r="95" spans="1:6" x14ac:dyDescent="0.25">
      <c r="A95" t="s">
        <v>94</v>
      </c>
      <c r="C95" t="s">
        <v>956</v>
      </c>
      <c r="F95" t="s">
        <v>335</v>
      </c>
    </row>
    <row r="96" spans="1:6" x14ac:dyDescent="0.25">
      <c r="A96" t="s">
        <v>95</v>
      </c>
      <c r="C96" t="s">
        <v>957</v>
      </c>
      <c r="F96" t="s">
        <v>336</v>
      </c>
    </row>
    <row r="97" spans="1:6" x14ac:dyDescent="0.25">
      <c r="A97" t="s">
        <v>96</v>
      </c>
      <c r="C97" t="s">
        <v>958</v>
      </c>
      <c r="F97" t="s">
        <v>337</v>
      </c>
    </row>
    <row r="98" spans="1:6" x14ac:dyDescent="0.25">
      <c r="A98" t="s">
        <v>97</v>
      </c>
      <c r="C98" t="s">
        <v>959</v>
      </c>
      <c r="F98" t="s">
        <v>338</v>
      </c>
    </row>
    <row r="99" spans="1:6" x14ac:dyDescent="0.25">
      <c r="A99" t="s">
        <v>98</v>
      </c>
      <c r="C99" t="s">
        <v>960</v>
      </c>
      <c r="F99" t="s">
        <v>339</v>
      </c>
    </row>
    <row r="100" spans="1:6" x14ac:dyDescent="0.25">
      <c r="A100" t="s">
        <v>99</v>
      </c>
      <c r="C100" t="s">
        <v>961</v>
      </c>
      <c r="F100" t="s">
        <v>340</v>
      </c>
    </row>
    <row r="101" spans="1:6" x14ac:dyDescent="0.25">
      <c r="A101" t="s">
        <v>100</v>
      </c>
      <c r="C101" t="s">
        <v>962</v>
      </c>
      <c r="F101" t="s">
        <v>341</v>
      </c>
    </row>
    <row r="102" spans="1:6" x14ac:dyDescent="0.25">
      <c r="A102" t="s">
        <v>101</v>
      </c>
      <c r="C102" t="s">
        <v>963</v>
      </c>
      <c r="F102" t="s">
        <v>342</v>
      </c>
    </row>
    <row r="103" spans="1:6" x14ac:dyDescent="0.25">
      <c r="A103" t="s">
        <v>102</v>
      </c>
      <c r="C103" t="s">
        <v>964</v>
      </c>
      <c r="F103" t="s">
        <v>343</v>
      </c>
    </row>
    <row r="104" spans="1:6" x14ac:dyDescent="0.25">
      <c r="A104" t="s">
        <v>103</v>
      </c>
      <c r="C104" t="s">
        <v>965</v>
      </c>
      <c r="F104" t="s">
        <v>344</v>
      </c>
    </row>
    <row r="105" spans="1:6" x14ac:dyDescent="0.25">
      <c r="A105" t="s">
        <v>104</v>
      </c>
      <c r="C105" t="s">
        <v>966</v>
      </c>
      <c r="F105" t="s">
        <v>345</v>
      </c>
    </row>
    <row r="106" spans="1:6" x14ac:dyDescent="0.25">
      <c r="A106" t="s">
        <v>105</v>
      </c>
      <c r="C106" t="s">
        <v>967</v>
      </c>
      <c r="F106" t="s">
        <v>346</v>
      </c>
    </row>
    <row r="107" spans="1:6" x14ac:dyDescent="0.25">
      <c r="A107" t="s">
        <v>106</v>
      </c>
      <c r="C107" t="s">
        <v>968</v>
      </c>
      <c r="F107" t="s">
        <v>347</v>
      </c>
    </row>
    <row r="108" spans="1:6" x14ac:dyDescent="0.25">
      <c r="A108" t="s">
        <v>107</v>
      </c>
      <c r="C108" t="s">
        <v>969</v>
      </c>
      <c r="F108" t="s">
        <v>348</v>
      </c>
    </row>
    <row r="109" spans="1:6" x14ac:dyDescent="0.25">
      <c r="A109" t="s">
        <v>108</v>
      </c>
      <c r="C109" t="s">
        <v>970</v>
      </c>
      <c r="F109" t="s">
        <v>349</v>
      </c>
    </row>
    <row r="110" spans="1:6" x14ac:dyDescent="0.25">
      <c r="A110" t="s">
        <v>109</v>
      </c>
      <c r="C110" t="s">
        <v>971</v>
      </c>
      <c r="F110" t="s">
        <v>350</v>
      </c>
    </row>
    <row r="111" spans="1:6" x14ac:dyDescent="0.25">
      <c r="A111" t="s">
        <v>110</v>
      </c>
      <c r="C111" t="s">
        <v>972</v>
      </c>
      <c r="F111" t="s">
        <v>351</v>
      </c>
    </row>
    <row r="112" spans="1:6" x14ac:dyDescent="0.25">
      <c r="A112" t="s">
        <v>111</v>
      </c>
      <c r="C112" t="s">
        <v>973</v>
      </c>
      <c r="F112" t="s">
        <v>352</v>
      </c>
    </row>
    <row r="113" spans="1:6" x14ac:dyDescent="0.25">
      <c r="A113" t="s">
        <v>112</v>
      </c>
      <c r="C113" t="s">
        <v>974</v>
      </c>
      <c r="F113" t="s">
        <v>353</v>
      </c>
    </row>
    <row r="114" spans="1:6" x14ac:dyDescent="0.25">
      <c r="A114" t="s">
        <v>113</v>
      </c>
      <c r="C114" t="s">
        <v>975</v>
      </c>
      <c r="F114" t="s">
        <v>354</v>
      </c>
    </row>
    <row r="115" spans="1:6" x14ac:dyDescent="0.25">
      <c r="A115" t="s">
        <v>114</v>
      </c>
      <c r="C115" t="s">
        <v>976</v>
      </c>
      <c r="F115" t="s">
        <v>355</v>
      </c>
    </row>
    <row r="116" spans="1:6" x14ac:dyDescent="0.25">
      <c r="A116" t="s">
        <v>115</v>
      </c>
      <c r="C116" t="s">
        <v>977</v>
      </c>
      <c r="F116" t="s">
        <v>356</v>
      </c>
    </row>
    <row r="117" spans="1:6" x14ac:dyDescent="0.25">
      <c r="A117" t="s">
        <v>116</v>
      </c>
      <c r="C117" t="s">
        <v>978</v>
      </c>
      <c r="F117" t="s">
        <v>357</v>
      </c>
    </row>
    <row r="118" spans="1:6" x14ac:dyDescent="0.25">
      <c r="A118" t="s">
        <v>117</v>
      </c>
      <c r="C118" t="s">
        <v>979</v>
      </c>
      <c r="F118" t="s">
        <v>358</v>
      </c>
    </row>
    <row r="119" spans="1:6" x14ac:dyDescent="0.25">
      <c r="A119" t="s">
        <v>118</v>
      </c>
      <c r="C119" t="s">
        <v>980</v>
      </c>
      <c r="F119" t="s">
        <v>359</v>
      </c>
    </row>
    <row r="120" spans="1:6" x14ac:dyDescent="0.25">
      <c r="A120" t="s">
        <v>119</v>
      </c>
      <c r="C120" t="s">
        <v>981</v>
      </c>
      <c r="F120" t="s">
        <v>360</v>
      </c>
    </row>
    <row r="121" spans="1:6" x14ac:dyDescent="0.25">
      <c r="A121" t="s">
        <v>120</v>
      </c>
      <c r="C121" t="s">
        <v>982</v>
      </c>
      <c r="F121" t="s">
        <v>361</v>
      </c>
    </row>
    <row r="122" spans="1:6" x14ac:dyDescent="0.25">
      <c r="A122" t="s">
        <v>121</v>
      </c>
      <c r="C122" t="s">
        <v>983</v>
      </c>
      <c r="F122" t="s">
        <v>362</v>
      </c>
    </row>
    <row r="123" spans="1:6" x14ac:dyDescent="0.25">
      <c r="A123" t="s">
        <v>122</v>
      </c>
      <c r="C123" t="s">
        <v>984</v>
      </c>
      <c r="F123" t="s">
        <v>363</v>
      </c>
    </row>
    <row r="124" spans="1:6" x14ac:dyDescent="0.25">
      <c r="A124" t="s">
        <v>123</v>
      </c>
      <c r="C124" t="s">
        <v>985</v>
      </c>
      <c r="F124" t="s">
        <v>364</v>
      </c>
    </row>
    <row r="125" spans="1:6" x14ac:dyDescent="0.25">
      <c r="A125" t="s">
        <v>124</v>
      </c>
      <c r="C125" t="s">
        <v>986</v>
      </c>
      <c r="F125" t="s">
        <v>365</v>
      </c>
    </row>
    <row r="126" spans="1:6" x14ac:dyDescent="0.25">
      <c r="A126" t="s">
        <v>125</v>
      </c>
      <c r="C126" t="s">
        <v>987</v>
      </c>
      <c r="F126" t="s">
        <v>366</v>
      </c>
    </row>
    <row r="127" spans="1:6" x14ac:dyDescent="0.25">
      <c r="A127" t="s">
        <v>126</v>
      </c>
      <c r="C127" t="s">
        <v>988</v>
      </c>
      <c r="F127" t="s">
        <v>367</v>
      </c>
    </row>
    <row r="128" spans="1:6" x14ac:dyDescent="0.25">
      <c r="A128" t="s">
        <v>127</v>
      </c>
      <c r="C128" t="s">
        <v>989</v>
      </c>
      <c r="F128" t="s">
        <v>368</v>
      </c>
    </row>
    <row r="129" spans="1:6" x14ac:dyDescent="0.25">
      <c r="A129" t="s">
        <v>128</v>
      </c>
      <c r="C129" t="s">
        <v>990</v>
      </c>
      <c r="F129" t="s">
        <v>369</v>
      </c>
    </row>
    <row r="130" spans="1:6" x14ac:dyDescent="0.25">
      <c r="A130" t="s">
        <v>129</v>
      </c>
      <c r="C130" t="s">
        <v>991</v>
      </c>
      <c r="F130" t="s">
        <v>370</v>
      </c>
    </row>
    <row r="131" spans="1:6" x14ac:dyDescent="0.25">
      <c r="A131" t="s">
        <v>130</v>
      </c>
      <c r="C131" t="s">
        <v>992</v>
      </c>
      <c r="F131" t="s">
        <v>371</v>
      </c>
    </row>
    <row r="132" spans="1:6" x14ac:dyDescent="0.25">
      <c r="A132" t="s">
        <v>131</v>
      </c>
      <c r="C132" t="s">
        <v>993</v>
      </c>
      <c r="F132" t="s">
        <v>372</v>
      </c>
    </row>
    <row r="133" spans="1:6" x14ac:dyDescent="0.25">
      <c r="A133" t="s">
        <v>132</v>
      </c>
      <c r="C133" t="s">
        <v>994</v>
      </c>
      <c r="F133" t="s">
        <v>373</v>
      </c>
    </row>
    <row r="134" spans="1:6" x14ac:dyDescent="0.25">
      <c r="A134" t="s">
        <v>133</v>
      </c>
      <c r="C134" t="s">
        <v>995</v>
      </c>
      <c r="F134" t="s">
        <v>374</v>
      </c>
    </row>
    <row r="135" spans="1:6" x14ac:dyDescent="0.25">
      <c r="A135" t="s">
        <v>134</v>
      </c>
      <c r="C135" t="s">
        <v>996</v>
      </c>
      <c r="F135" t="s">
        <v>375</v>
      </c>
    </row>
    <row r="136" spans="1:6" x14ac:dyDescent="0.25">
      <c r="A136" t="s">
        <v>135</v>
      </c>
      <c r="C136" t="s">
        <v>997</v>
      </c>
      <c r="F136" t="s">
        <v>376</v>
      </c>
    </row>
    <row r="137" spans="1:6" x14ac:dyDescent="0.25">
      <c r="A137" t="s">
        <v>136</v>
      </c>
      <c r="C137" t="s">
        <v>998</v>
      </c>
      <c r="F137" t="s">
        <v>377</v>
      </c>
    </row>
    <row r="138" spans="1:6" x14ac:dyDescent="0.25">
      <c r="A138" t="s">
        <v>137</v>
      </c>
      <c r="C138" t="s">
        <v>999</v>
      </c>
      <c r="F138" t="s">
        <v>378</v>
      </c>
    </row>
    <row r="139" spans="1:6" x14ac:dyDescent="0.25">
      <c r="A139" t="s">
        <v>138</v>
      </c>
      <c r="C139" t="s">
        <v>1000</v>
      </c>
      <c r="F139" t="s">
        <v>379</v>
      </c>
    </row>
    <row r="140" spans="1:6" x14ac:dyDescent="0.25">
      <c r="A140" t="s">
        <v>139</v>
      </c>
      <c r="C140" t="s">
        <v>1001</v>
      </c>
      <c r="F140" t="s">
        <v>380</v>
      </c>
    </row>
    <row r="141" spans="1:6" x14ac:dyDescent="0.25">
      <c r="A141" t="s">
        <v>140</v>
      </c>
      <c r="C141" t="s">
        <v>1002</v>
      </c>
      <c r="F141" t="s">
        <v>381</v>
      </c>
    </row>
    <row r="142" spans="1:6" x14ac:dyDescent="0.25">
      <c r="A142" t="s">
        <v>141</v>
      </c>
      <c r="C142" t="s">
        <v>1003</v>
      </c>
      <c r="F142" t="s">
        <v>382</v>
      </c>
    </row>
    <row r="143" spans="1:6" x14ac:dyDescent="0.25">
      <c r="A143" t="s">
        <v>142</v>
      </c>
      <c r="C143" t="s">
        <v>1004</v>
      </c>
      <c r="F143" t="s">
        <v>383</v>
      </c>
    </row>
    <row r="144" spans="1:6" x14ac:dyDescent="0.25">
      <c r="A144" t="s">
        <v>143</v>
      </c>
      <c r="C144" t="s">
        <v>1005</v>
      </c>
      <c r="F144" t="s">
        <v>384</v>
      </c>
    </row>
    <row r="145" spans="1:6" x14ac:dyDescent="0.25">
      <c r="A145" t="s">
        <v>144</v>
      </c>
      <c r="C145" t="s">
        <v>1006</v>
      </c>
      <c r="F145" t="s">
        <v>385</v>
      </c>
    </row>
    <row r="146" spans="1:6" x14ac:dyDescent="0.25">
      <c r="A146" t="s">
        <v>145</v>
      </c>
      <c r="C146" t="s">
        <v>1007</v>
      </c>
      <c r="F146" t="s">
        <v>386</v>
      </c>
    </row>
    <row r="147" spans="1:6" x14ac:dyDescent="0.25">
      <c r="A147" t="s">
        <v>146</v>
      </c>
      <c r="C147" t="s">
        <v>1008</v>
      </c>
      <c r="F147" t="s">
        <v>387</v>
      </c>
    </row>
    <row r="148" spans="1:6" x14ac:dyDescent="0.25">
      <c r="A148" t="s">
        <v>147</v>
      </c>
      <c r="C148" t="s">
        <v>1009</v>
      </c>
      <c r="F148" t="s">
        <v>388</v>
      </c>
    </row>
    <row r="149" spans="1:6" x14ac:dyDescent="0.25">
      <c r="A149" t="s">
        <v>148</v>
      </c>
      <c r="C149" t="s">
        <v>1010</v>
      </c>
      <c r="F149" t="s">
        <v>389</v>
      </c>
    </row>
    <row r="150" spans="1:6" x14ac:dyDescent="0.25">
      <c r="A150" t="s">
        <v>149</v>
      </c>
      <c r="C150" t="s">
        <v>1011</v>
      </c>
      <c r="F150" t="s">
        <v>390</v>
      </c>
    </row>
    <row r="151" spans="1:6" x14ac:dyDescent="0.25">
      <c r="A151" t="s">
        <v>150</v>
      </c>
      <c r="C151" t="s">
        <v>1012</v>
      </c>
      <c r="F151" t="s">
        <v>391</v>
      </c>
    </row>
    <row r="152" spans="1:6" x14ac:dyDescent="0.25">
      <c r="A152" t="s">
        <v>151</v>
      </c>
      <c r="C152" t="s">
        <v>1013</v>
      </c>
      <c r="F152" t="s">
        <v>392</v>
      </c>
    </row>
    <row r="153" spans="1:6" x14ac:dyDescent="0.25">
      <c r="A153" t="s">
        <v>152</v>
      </c>
      <c r="C153" t="s">
        <v>1014</v>
      </c>
      <c r="F153" t="s">
        <v>393</v>
      </c>
    </row>
    <row r="154" spans="1:6" x14ac:dyDescent="0.25">
      <c r="A154" t="s">
        <v>153</v>
      </c>
      <c r="C154" t="s">
        <v>1015</v>
      </c>
      <c r="F154" t="s">
        <v>394</v>
      </c>
    </row>
    <row r="155" spans="1:6" x14ac:dyDescent="0.25">
      <c r="A155" t="s">
        <v>154</v>
      </c>
      <c r="C155" t="s">
        <v>1016</v>
      </c>
      <c r="F155" t="s">
        <v>395</v>
      </c>
    </row>
    <row r="156" spans="1:6" x14ac:dyDescent="0.25">
      <c r="A156" t="s">
        <v>155</v>
      </c>
      <c r="C156" t="s">
        <v>1017</v>
      </c>
      <c r="F156" t="s">
        <v>396</v>
      </c>
    </row>
    <row r="157" spans="1:6" x14ac:dyDescent="0.25">
      <c r="A157" t="s">
        <v>156</v>
      </c>
      <c r="C157" t="s">
        <v>1018</v>
      </c>
      <c r="F157" t="s">
        <v>397</v>
      </c>
    </row>
    <row r="158" spans="1:6" x14ac:dyDescent="0.25">
      <c r="A158" t="s">
        <v>157</v>
      </c>
      <c r="C158" t="s">
        <v>1019</v>
      </c>
      <c r="F158" t="s">
        <v>398</v>
      </c>
    </row>
    <row r="159" spans="1:6" x14ac:dyDescent="0.25">
      <c r="A159" t="s">
        <v>158</v>
      </c>
      <c r="C159" t="s">
        <v>1020</v>
      </c>
      <c r="F159" t="s">
        <v>399</v>
      </c>
    </row>
    <row r="160" spans="1:6" x14ac:dyDescent="0.25">
      <c r="A160" t="s">
        <v>159</v>
      </c>
      <c r="C160" t="s">
        <v>1021</v>
      </c>
      <c r="F160" t="s">
        <v>400</v>
      </c>
    </row>
    <row r="161" spans="1:6" x14ac:dyDescent="0.25">
      <c r="A161" t="s">
        <v>160</v>
      </c>
      <c r="C161" t="s">
        <v>1022</v>
      </c>
      <c r="F161" t="s">
        <v>401</v>
      </c>
    </row>
    <row r="162" spans="1:6" x14ac:dyDescent="0.25">
      <c r="A162" t="s">
        <v>161</v>
      </c>
      <c r="C162" t="s">
        <v>1023</v>
      </c>
      <c r="F162" t="s">
        <v>402</v>
      </c>
    </row>
    <row r="163" spans="1:6" x14ac:dyDescent="0.25">
      <c r="A163" t="s">
        <v>162</v>
      </c>
      <c r="C163" t="s">
        <v>1024</v>
      </c>
      <c r="F163" t="s">
        <v>403</v>
      </c>
    </row>
    <row r="164" spans="1:6" x14ac:dyDescent="0.25">
      <c r="A164" t="s">
        <v>163</v>
      </c>
      <c r="C164" t="s">
        <v>1025</v>
      </c>
      <c r="F164" t="s">
        <v>404</v>
      </c>
    </row>
    <row r="165" spans="1:6" x14ac:dyDescent="0.25">
      <c r="A165" t="s">
        <v>164</v>
      </c>
      <c r="C165" t="s">
        <v>1026</v>
      </c>
      <c r="F165" t="s">
        <v>405</v>
      </c>
    </row>
    <row r="166" spans="1:6" x14ac:dyDescent="0.25">
      <c r="A166" t="s">
        <v>165</v>
      </c>
      <c r="C166" t="s">
        <v>1027</v>
      </c>
      <c r="F166" t="s">
        <v>406</v>
      </c>
    </row>
    <row r="167" spans="1:6" x14ac:dyDescent="0.25">
      <c r="A167" t="s">
        <v>166</v>
      </c>
      <c r="C167" t="s">
        <v>1028</v>
      </c>
      <c r="F167" t="s">
        <v>407</v>
      </c>
    </row>
    <row r="168" spans="1:6" x14ac:dyDescent="0.25">
      <c r="A168" t="s">
        <v>167</v>
      </c>
      <c r="C168" t="s">
        <v>1029</v>
      </c>
      <c r="F168" t="s">
        <v>408</v>
      </c>
    </row>
    <row r="169" spans="1:6" x14ac:dyDescent="0.25">
      <c r="A169" t="s">
        <v>168</v>
      </c>
      <c r="C169" t="s">
        <v>1030</v>
      </c>
      <c r="F169" t="s">
        <v>409</v>
      </c>
    </row>
    <row r="170" spans="1:6" x14ac:dyDescent="0.25">
      <c r="A170" t="s">
        <v>169</v>
      </c>
      <c r="C170" t="s">
        <v>1031</v>
      </c>
      <c r="F170" t="s">
        <v>410</v>
      </c>
    </row>
    <row r="171" spans="1:6" x14ac:dyDescent="0.25">
      <c r="A171" t="s">
        <v>170</v>
      </c>
      <c r="C171" t="s">
        <v>1032</v>
      </c>
      <c r="F171" t="s">
        <v>411</v>
      </c>
    </row>
    <row r="172" spans="1:6" x14ac:dyDescent="0.25">
      <c r="A172" t="s">
        <v>171</v>
      </c>
      <c r="C172" t="s">
        <v>1033</v>
      </c>
      <c r="F172" t="s">
        <v>412</v>
      </c>
    </row>
    <row r="173" spans="1:6" x14ac:dyDescent="0.25">
      <c r="A173" t="s">
        <v>172</v>
      </c>
      <c r="C173" t="s">
        <v>1034</v>
      </c>
      <c r="F173" t="s">
        <v>413</v>
      </c>
    </row>
    <row r="174" spans="1:6" x14ac:dyDescent="0.25">
      <c r="A174" t="s">
        <v>173</v>
      </c>
      <c r="C174" t="s">
        <v>1035</v>
      </c>
      <c r="F174" t="s">
        <v>414</v>
      </c>
    </row>
    <row r="175" spans="1:6" x14ac:dyDescent="0.25">
      <c r="A175" t="s">
        <v>174</v>
      </c>
      <c r="C175" t="s">
        <v>1036</v>
      </c>
      <c r="F175" t="s">
        <v>415</v>
      </c>
    </row>
    <row r="176" spans="1:6" x14ac:dyDescent="0.25">
      <c r="A176" t="s">
        <v>175</v>
      </c>
      <c r="C176" t="s">
        <v>1037</v>
      </c>
      <c r="F176" t="s">
        <v>416</v>
      </c>
    </row>
    <row r="177" spans="1:6" x14ac:dyDescent="0.25">
      <c r="A177" t="s">
        <v>176</v>
      </c>
      <c r="C177" t="s">
        <v>1038</v>
      </c>
      <c r="F177" t="s">
        <v>417</v>
      </c>
    </row>
    <row r="178" spans="1:6" x14ac:dyDescent="0.25">
      <c r="A178" t="s">
        <v>177</v>
      </c>
      <c r="C178" t="s">
        <v>1039</v>
      </c>
      <c r="F178" t="s">
        <v>418</v>
      </c>
    </row>
    <row r="179" spans="1:6" x14ac:dyDescent="0.25">
      <c r="A179" t="s">
        <v>178</v>
      </c>
      <c r="C179" t="s">
        <v>1040</v>
      </c>
      <c r="F179" t="s">
        <v>419</v>
      </c>
    </row>
    <row r="180" spans="1:6" x14ac:dyDescent="0.25">
      <c r="A180" t="s">
        <v>179</v>
      </c>
      <c r="C180" t="s">
        <v>1041</v>
      </c>
      <c r="F180" t="s">
        <v>420</v>
      </c>
    </row>
    <row r="181" spans="1:6" x14ac:dyDescent="0.25">
      <c r="A181" t="s">
        <v>180</v>
      </c>
      <c r="C181" t="s">
        <v>1042</v>
      </c>
      <c r="F181" t="s">
        <v>421</v>
      </c>
    </row>
    <row r="182" spans="1:6" x14ac:dyDescent="0.25">
      <c r="A182" t="s">
        <v>181</v>
      </c>
      <c r="C182" t="s">
        <v>1043</v>
      </c>
      <c r="F182" t="s">
        <v>422</v>
      </c>
    </row>
    <row r="183" spans="1:6" x14ac:dyDescent="0.25">
      <c r="A183" t="s">
        <v>182</v>
      </c>
      <c r="C183" t="s">
        <v>1044</v>
      </c>
      <c r="F183" t="s">
        <v>423</v>
      </c>
    </row>
    <row r="184" spans="1:6" x14ac:dyDescent="0.25">
      <c r="A184" t="s">
        <v>183</v>
      </c>
      <c r="C184" t="s">
        <v>1045</v>
      </c>
      <c r="F184" t="s">
        <v>424</v>
      </c>
    </row>
    <row r="185" spans="1:6" x14ac:dyDescent="0.25">
      <c r="A185" t="s">
        <v>184</v>
      </c>
      <c r="C185" t="s">
        <v>1046</v>
      </c>
      <c r="F185" t="s">
        <v>425</v>
      </c>
    </row>
    <row r="186" spans="1:6" x14ac:dyDescent="0.25">
      <c r="A186" t="s">
        <v>185</v>
      </c>
      <c r="C186" t="s">
        <v>1047</v>
      </c>
      <c r="F186" t="s">
        <v>426</v>
      </c>
    </row>
    <row r="187" spans="1:6" x14ac:dyDescent="0.25">
      <c r="A187" t="s">
        <v>186</v>
      </c>
      <c r="C187" t="s">
        <v>1048</v>
      </c>
      <c r="F187" t="s">
        <v>427</v>
      </c>
    </row>
    <row r="188" spans="1:6" x14ac:dyDescent="0.25">
      <c r="A188" t="s">
        <v>187</v>
      </c>
      <c r="C188" t="s">
        <v>1049</v>
      </c>
      <c r="F188" t="s">
        <v>428</v>
      </c>
    </row>
    <row r="189" spans="1:6" x14ac:dyDescent="0.25">
      <c r="A189" t="s">
        <v>188</v>
      </c>
      <c r="C189" t="s">
        <v>1050</v>
      </c>
      <c r="F189" t="s">
        <v>429</v>
      </c>
    </row>
    <row r="190" spans="1:6" x14ac:dyDescent="0.25">
      <c r="A190" t="s">
        <v>189</v>
      </c>
      <c r="C190" t="s">
        <v>1051</v>
      </c>
      <c r="F190" t="s">
        <v>430</v>
      </c>
    </row>
    <row r="191" spans="1:6" x14ac:dyDescent="0.25">
      <c r="A191" t="s">
        <v>190</v>
      </c>
      <c r="C191" t="s">
        <v>1052</v>
      </c>
      <c r="F191" t="s">
        <v>431</v>
      </c>
    </row>
    <row r="192" spans="1:6" x14ac:dyDescent="0.25">
      <c r="A192" t="s">
        <v>191</v>
      </c>
      <c r="C192" t="s">
        <v>1053</v>
      </c>
      <c r="F192" t="s">
        <v>432</v>
      </c>
    </row>
    <row r="193" spans="1:6" x14ac:dyDescent="0.25">
      <c r="A193" t="s">
        <v>192</v>
      </c>
      <c r="C193" t="s">
        <v>1054</v>
      </c>
      <c r="F193" t="s">
        <v>433</v>
      </c>
    </row>
    <row r="194" spans="1:6" x14ac:dyDescent="0.25">
      <c r="A194" t="s">
        <v>193</v>
      </c>
      <c r="C194" t="s">
        <v>1055</v>
      </c>
      <c r="F194" t="s">
        <v>434</v>
      </c>
    </row>
    <row r="195" spans="1:6" x14ac:dyDescent="0.25">
      <c r="A195" t="s">
        <v>194</v>
      </c>
      <c r="C195" t="s">
        <v>1056</v>
      </c>
      <c r="F195" t="s">
        <v>435</v>
      </c>
    </row>
    <row r="196" spans="1:6" x14ac:dyDescent="0.25">
      <c r="A196" t="s">
        <v>195</v>
      </c>
      <c r="C196" t="s">
        <v>1057</v>
      </c>
      <c r="F196" t="s">
        <v>436</v>
      </c>
    </row>
    <row r="197" spans="1:6" x14ac:dyDescent="0.25">
      <c r="A197" t="s">
        <v>196</v>
      </c>
      <c r="C197" t="s">
        <v>1058</v>
      </c>
      <c r="F197" t="s">
        <v>437</v>
      </c>
    </row>
    <row r="198" spans="1:6" x14ac:dyDescent="0.25">
      <c r="A198" t="s">
        <v>197</v>
      </c>
      <c r="C198" t="s">
        <v>1059</v>
      </c>
      <c r="F198" t="s">
        <v>438</v>
      </c>
    </row>
    <row r="199" spans="1:6" x14ac:dyDescent="0.25">
      <c r="A199" t="s">
        <v>198</v>
      </c>
      <c r="C199" t="s">
        <v>1060</v>
      </c>
      <c r="F199" t="s">
        <v>439</v>
      </c>
    </row>
    <row r="200" spans="1:6" x14ac:dyDescent="0.25">
      <c r="A200" t="s">
        <v>199</v>
      </c>
      <c r="C200" t="s">
        <v>1061</v>
      </c>
      <c r="F200" t="s">
        <v>440</v>
      </c>
    </row>
    <row r="201" spans="1:6" x14ac:dyDescent="0.25">
      <c r="A201" t="s">
        <v>200</v>
      </c>
      <c r="C201" t="s">
        <v>1062</v>
      </c>
      <c r="F201" t="s">
        <v>441</v>
      </c>
    </row>
    <row r="202" spans="1:6" x14ac:dyDescent="0.25">
      <c r="A202" t="s">
        <v>201</v>
      </c>
      <c r="C202" t="s">
        <v>1063</v>
      </c>
      <c r="F202" t="s">
        <v>442</v>
      </c>
    </row>
    <row r="203" spans="1:6" x14ac:dyDescent="0.25">
      <c r="A203" t="s">
        <v>202</v>
      </c>
      <c r="C203" t="s">
        <v>1064</v>
      </c>
      <c r="F203" t="s">
        <v>443</v>
      </c>
    </row>
    <row r="204" spans="1:6" x14ac:dyDescent="0.25">
      <c r="A204" t="s">
        <v>203</v>
      </c>
      <c r="C204" t="s">
        <v>1065</v>
      </c>
      <c r="F204" t="s">
        <v>444</v>
      </c>
    </row>
    <row r="205" spans="1:6" x14ac:dyDescent="0.25">
      <c r="A205" t="s">
        <v>204</v>
      </c>
      <c r="C205" t="s">
        <v>1066</v>
      </c>
      <c r="F205" t="s">
        <v>445</v>
      </c>
    </row>
    <row r="206" spans="1:6" x14ac:dyDescent="0.25">
      <c r="A206" t="s">
        <v>205</v>
      </c>
      <c r="C206" t="s">
        <v>1067</v>
      </c>
      <c r="F206" t="s">
        <v>446</v>
      </c>
    </row>
    <row r="207" spans="1:6" x14ac:dyDescent="0.25">
      <c r="A207" t="s">
        <v>206</v>
      </c>
      <c r="C207" t="s">
        <v>1068</v>
      </c>
      <c r="F207" t="s">
        <v>447</v>
      </c>
    </row>
    <row r="208" spans="1:6" x14ac:dyDescent="0.25">
      <c r="A208" t="s">
        <v>207</v>
      </c>
      <c r="C208" t="s">
        <v>1069</v>
      </c>
      <c r="F208" t="s">
        <v>448</v>
      </c>
    </row>
    <row r="209" spans="1:6" x14ac:dyDescent="0.25">
      <c r="A209" t="s">
        <v>208</v>
      </c>
      <c r="C209" t="s">
        <v>1070</v>
      </c>
      <c r="F209" t="s">
        <v>449</v>
      </c>
    </row>
    <row r="210" spans="1:6" x14ac:dyDescent="0.25">
      <c r="A210" t="s">
        <v>209</v>
      </c>
      <c r="C210" t="s">
        <v>1071</v>
      </c>
      <c r="F210" t="s">
        <v>450</v>
      </c>
    </row>
    <row r="211" spans="1:6" x14ac:dyDescent="0.25">
      <c r="A211" t="s">
        <v>210</v>
      </c>
      <c r="C211" t="s">
        <v>1072</v>
      </c>
      <c r="F211" t="s">
        <v>451</v>
      </c>
    </row>
    <row r="212" spans="1:6" x14ac:dyDescent="0.25">
      <c r="A212" t="s">
        <v>211</v>
      </c>
      <c r="C212" t="s">
        <v>1073</v>
      </c>
      <c r="F212" t="s">
        <v>452</v>
      </c>
    </row>
    <row r="213" spans="1:6" x14ac:dyDescent="0.25">
      <c r="A213" t="s">
        <v>212</v>
      </c>
      <c r="C213" t="s">
        <v>1074</v>
      </c>
      <c r="F213" t="s">
        <v>453</v>
      </c>
    </row>
    <row r="214" spans="1:6" x14ac:dyDescent="0.25">
      <c r="A214" t="s">
        <v>213</v>
      </c>
      <c r="C214" t="s">
        <v>1075</v>
      </c>
      <c r="F214" t="s">
        <v>454</v>
      </c>
    </row>
    <row r="215" spans="1:6" x14ac:dyDescent="0.25">
      <c r="A215" t="s">
        <v>214</v>
      </c>
      <c r="C215" t="s">
        <v>1076</v>
      </c>
      <c r="F215" t="s">
        <v>455</v>
      </c>
    </row>
    <row r="216" spans="1:6" x14ac:dyDescent="0.25">
      <c r="A216" t="s">
        <v>215</v>
      </c>
      <c r="C216" t="s">
        <v>1077</v>
      </c>
      <c r="F216" t="s">
        <v>456</v>
      </c>
    </row>
    <row r="217" spans="1:6" x14ac:dyDescent="0.25">
      <c r="A217" t="s">
        <v>216</v>
      </c>
      <c r="C217" t="s">
        <v>1078</v>
      </c>
      <c r="F217" t="s">
        <v>457</v>
      </c>
    </row>
    <row r="218" spans="1:6" x14ac:dyDescent="0.25">
      <c r="A218" t="s">
        <v>217</v>
      </c>
      <c r="C218" t="s">
        <v>1079</v>
      </c>
      <c r="F218" t="s">
        <v>458</v>
      </c>
    </row>
    <row r="219" spans="1:6" x14ac:dyDescent="0.25">
      <c r="A219" t="s">
        <v>218</v>
      </c>
      <c r="C219" t="s">
        <v>1080</v>
      </c>
      <c r="F219" t="s">
        <v>459</v>
      </c>
    </row>
    <row r="220" spans="1:6" x14ac:dyDescent="0.25">
      <c r="A220" t="s">
        <v>219</v>
      </c>
      <c r="C220" t="s">
        <v>1081</v>
      </c>
      <c r="F220" t="s">
        <v>460</v>
      </c>
    </row>
    <row r="221" spans="1:6" x14ac:dyDescent="0.25">
      <c r="A221" t="s">
        <v>220</v>
      </c>
      <c r="C221" t="s">
        <v>1082</v>
      </c>
      <c r="F221" t="s">
        <v>461</v>
      </c>
    </row>
    <row r="222" spans="1:6" x14ac:dyDescent="0.25">
      <c r="A222" t="s">
        <v>221</v>
      </c>
      <c r="C222" t="s">
        <v>1083</v>
      </c>
      <c r="F222" t="s">
        <v>462</v>
      </c>
    </row>
    <row r="223" spans="1:6" x14ac:dyDescent="0.25">
      <c r="A223" t="s">
        <v>222</v>
      </c>
      <c r="C223" t="s">
        <v>1084</v>
      </c>
      <c r="F223" t="s">
        <v>463</v>
      </c>
    </row>
    <row r="224" spans="1:6" x14ac:dyDescent="0.25">
      <c r="A224" t="s">
        <v>223</v>
      </c>
      <c r="C224" t="s">
        <v>1085</v>
      </c>
      <c r="F224" t="s">
        <v>464</v>
      </c>
    </row>
    <row r="225" spans="1:6" x14ac:dyDescent="0.25">
      <c r="A225" t="s">
        <v>224</v>
      </c>
      <c r="C225" t="s">
        <v>1086</v>
      </c>
      <c r="F225" t="s">
        <v>465</v>
      </c>
    </row>
    <row r="226" spans="1:6" x14ac:dyDescent="0.25">
      <c r="A226" t="s">
        <v>225</v>
      </c>
      <c r="C226" t="s">
        <v>1087</v>
      </c>
      <c r="F226" t="s">
        <v>466</v>
      </c>
    </row>
    <row r="227" spans="1:6" x14ac:dyDescent="0.25">
      <c r="A227" t="s">
        <v>226</v>
      </c>
      <c r="C227" t="s">
        <v>1088</v>
      </c>
      <c r="F227" t="s">
        <v>467</v>
      </c>
    </row>
    <row r="228" spans="1:6" x14ac:dyDescent="0.25">
      <c r="A228" t="s">
        <v>227</v>
      </c>
      <c r="C228" t="s">
        <v>1089</v>
      </c>
      <c r="F228" t="s">
        <v>468</v>
      </c>
    </row>
    <row r="229" spans="1:6" x14ac:dyDescent="0.25">
      <c r="A229" t="s">
        <v>228</v>
      </c>
      <c r="C229" t="s">
        <v>1090</v>
      </c>
      <c r="F229" t="s">
        <v>469</v>
      </c>
    </row>
    <row r="230" spans="1:6" x14ac:dyDescent="0.25">
      <c r="A230" t="s">
        <v>229</v>
      </c>
      <c r="C230" t="s">
        <v>1091</v>
      </c>
      <c r="F230" t="s">
        <v>470</v>
      </c>
    </row>
    <row r="231" spans="1:6" x14ac:dyDescent="0.25">
      <c r="A231" t="s">
        <v>230</v>
      </c>
      <c r="C231" t="s">
        <v>1092</v>
      </c>
      <c r="F231" t="s">
        <v>471</v>
      </c>
    </row>
    <row r="232" spans="1:6" x14ac:dyDescent="0.25">
      <c r="A232" t="s">
        <v>231</v>
      </c>
      <c r="C232" t="s">
        <v>1093</v>
      </c>
      <c r="F232" t="s">
        <v>472</v>
      </c>
    </row>
    <row r="233" spans="1:6" x14ac:dyDescent="0.25">
      <c r="A233" t="s">
        <v>232</v>
      </c>
      <c r="C233" t="s">
        <v>1094</v>
      </c>
      <c r="F233" t="s">
        <v>473</v>
      </c>
    </row>
    <row r="234" spans="1:6" x14ac:dyDescent="0.25">
      <c r="A234" t="s">
        <v>233</v>
      </c>
      <c r="C234" t="s">
        <v>1095</v>
      </c>
      <c r="F234" t="s">
        <v>474</v>
      </c>
    </row>
    <row r="235" spans="1:6" x14ac:dyDescent="0.25">
      <c r="A235" t="s">
        <v>234</v>
      </c>
      <c r="C235" t="s">
        <v>1096</v>
      </c>
      <c r="F235" t="s">
        <v>475</v>
      </c>
    </row>
    <row r="236" spans="1:6" x14ac:dyDescent="0.25">
      <c r="A236" t="s">
        <v>235</v>
      </c>
      <c r="C236" t="s">
        <v>1097</v>
      </c>
      <c r="F236" t="s">
        <v>476</v>
      </c>
    </row>
    <row r="237" spans="1:6" x14ac:dyDescent="0.25">
      <c r="A237" t="s">
        <v>236</v>
      </c>
      <c r="C237" t="s">
        <v>1098</v>
      </c>
      <c r="F237" t="s">
        <v>477</v>
      </c>
    </row>
    <row r="238" spans="1:6" x14ac:dyDescent="0.25">
      <c r="A238" t="s">
        <v>237</v>
      </c>
      <c r="C238" t="s">
        <v>1099</v>
      </c>
      <c r="F238" t="s">
        <v>478</v>
      </c>
    </row>
    <row r="239" spans="1:6" x14ac:dyDescent="0.25">
      <c r="A239" t="s">
        <v>238</v>
      </c>
      <c r="C239" t="s">
        <v>1100</v>
      </c>
      <c r="F239" t="s">
        <v>479</v>
      </c>
    </row>
    <row r="240" spans="1:6" x14ac:dyDescent="0.25">
      <c r="A240" t="s">
        <v>239</v>
      </c>
      <c r="C240" t="s">
        <v>1101</v>
      </c>
      <c r="F240" t="s">
        <v>480</v>
      </c>
    </row>
    <row r="241" spans="1:6" x14ac:dyDescent="0.25">
      <c r="A241" t="s">
        <v>240</v>
      </c>
      <c r="C241" t="s">
        <v>1102</v>
      </c>
      <c r="F241" t="s">
        <v>481</v>
      </c>
    </row>
    <row r="242" spans="1:6" x14ac:dyDescent="0.25">
      <c r="A242" t="s">
        <v>241</v>
      </c>
      <c r="C242" t="s">
        <v>1103</v>
      </c>
      <c r="F242" t="s">
        <v>482</v>
      </c>
    </row>
    <row r="243" spans="1:6" x14ac:dyDescent="0.25">
      <c r="A243" t="s">
        <v>242</v>
      </c>
      <c r="C243" t="s">
        <v>1104</v>
      </c>
      <c r="F243" t="s">
        <v>483</v>
      </c>
    </row>
    <row r="244" spans="1:6" x14ac:dyDescent="0.25">
      <c r="A244" t="s">
        <v>1166</v>
      </c>
      <c r="C244" t="s">
        <v>1105</v>
      </c>
      <c r="F244" t="s">
        <v>484</v>
      </c>
    </row>
    <row r="245" spans="1:6" x14ac:dyDescent="0.25">
      <c r="A245" t="s">
        <v>3634</v>
      </c>
      <c r="C245" t="s">
        <v>1106</v>
      </c>
      <c r="F245" t="s">
        <v>485</v>
      </c>
    </row>
    <row r="246" spans="1:6" x14ac:dyDescent="0.25">
      <c r="A246" t="s">
        <v>3635</v>
      </c>
      <c r="C246" t="s">
        <v>1107</v>
      </c>
      <c r="F246" t="s">
        <v>486</v>
      </c>
    </row>
    <row r="247" spans="1:6" x14ac:dyDescent="0.25">
      <c r="A247" t="s">
        <v>9</v>
      </c>
      <c r="C247" t="s">
        <v>1108</v>
      </c>
      <c r="F247" t="s">
        <v>487</v>
      </c>
    </row>
    <row r="248" spans="1:6" x14ac:dyDescent="0.25">
      <c r="A248" t="s">
        <v>3636</v>
      </c>
      <c r="C248" t="s">
        <v>1109</v>
      </c>
      <c r="F248" t="s">
        <v>488</v>
      </c>
    </row>
    <row r="249" spans="1:6" x14ac:dyDescent="0.25">
      <c r="A249" t="s">
        <v>1286</v>
      </c>
      <c r="C249" t="s">
        <v>1110</v>
      </c>
      <c r="F249" t="s">
        <v>489</v>
      </c>
    </row>
    <row r="250" spans="1:6" x14ac:dyDescent="0.25">
      <c r="A250" t="s">
        <v>3637</v>
      </c>
      <c r="C250" t="s">
        <v>1111</v>
      </c>
      <c r="F250" t="s">
        <v>490</v>
      </c>
    </row>
    <row r="251" spans="1:6" x14ac:dyDescent="0.25">
      <c r="A251" t="s">
        <v>3638</v>
      </c>
      <c r="C251" t="s">
        <v>1112</v>
      </c>
      <c r="F251" t="s">
        <v>491</v>
      </c>
    </row>
    <row r="252" spans="1:6" x14ac:dyDescent="0.25">
      <c r="A252" t="s">
        <v>2598</v>
      </c>
      <c r="C252" t="s">
        <v>1113</v>
      </c>
      <c r="F252" t="s">
        <v>492</v>
      </c>
    </row>
    <row r="253" spans="1:6" x14ac:dyDescent="0.25">
      <c r="A253" t="s">
        <v>3639</v>
      </c>
      <c r="C253" t="s">
        <v>1114</v>
      </c>
      <c r="F253" t="s">
        <v>493</v>
      </c>
    </row>
    <row r="254" spans="1:6" x14ac:dyDescent="0.25">
      <c r="A254" t="s">
        <v>3640</v>
      </c>
      <c r="C254" t="s">
        <v>1115</v>
      </c>
      <c r="F254" t="s">
        <v>494</v>
      </c>
    </row>
    <row r="255" spans="1:6" x14ac:dyDescent="0.25">
      <c r="A255" t="s">
        <v>3641</v>
      </c>
      <c r="C255" t="s">
        <v>1116</v>
      </c>
      <c r="F255" t="s">
        <v>495</v>
      </c>
    </row>
    <row r="256" spans="1:6" x14ac:dyDescent="0.25">
      <c r="A256" t="s">
        <v>1087</v>
      </c>
      <c r="C256" t="s">
        <v>1117</v>
      </c>
      <c r="F256" t="s">
        <v>496</v>
      </c>
    </row>
    <row r="257" spans="1:6" x14ac:dyDescent="0.25">
      <c r="A257" t="s">
        <v>3642</v>
      </c>
      <c r="C257" t="s">
        <v>1118</v>
      </c>
      <c r="F257" t="s">
        <v>497</v>
      </c>
    </row>
    <row r="258" spans="1:6" x14ac:dyDescent="0.25">
      <c r="A258" t="s">
        <v>3643</v>
      </c>
      <c r="C258" t="s">
        <v>2838</v>
      </c>
      <c r="F258" t="s">
        <v>498</v>
      </c>
    </row>
    <row r="259" spans="1:6" x14ac:dyDescent="0.25">
      <c r="A259" t="s">
        <v>2064</v>
      </c>
      <c r="C259" t="s">
        <v>2839</v>
      </c>
      <c r="F259" t="s">
        <v>499</v>
      </c>
    </row>
    <row r="260" spans="1:6" x14ac:dyDescent="0.25">
      <c r="A260" t="s">
        <v>2039</v>
      </c>
      <c r="C260" t="s">
        <v>2840</v>
      </c>
      <c r="F260" t="s">
        <v>500</v>
      </c>
    </row>
    <row r="261" spans="1:6" x14ac:dyDescent="0.25">
      <c r="A261" t="s">
        <v>3644</v>
      </c>
      <c r="C261" t="s">
        <v>2841</v>
      </c>
      <c r="F261" t="s">
        <v>501</v>
      </c>
    </row>
    <row r="262" spans="1:6" x14ac:dyDescent="0.25">
      <c r="A262" t="s">
        <v>3645</v>
      </c>
      <c r="C262" t="s">
        <v>2842</v>
      </c>
      <c r="F262" t="s">
        <v>502</v>
      </c>
    </row>
    <row r="263" spans="1:6" x14ac:dyDescent="0.25">
      <c r="A263" t="s">
        <v>3646</v>
      </c>
      <c r="C263" t="s">
        <v>2147</v>
      </c>
      <c r="F263" t="s">
        <v>503</v>
      </c>
    </row>
    <row r="264" spans="1:6" x14ac:dyDescent="0.25">
      <c r="A264" t="s">
        <v>2157</v>
      </c>
      <c r="C264" t="s">
        <v>2843</v>
      </c>
      <c r="F264" t="s">
        <v>504</v>
      </c>
    </row>
    <row r="265" spans="1:6" x14ac:dyDescent="0.25">
      <c r="A265" t="s">
        <v>230</v>
      </c>
      <c r="C265" t="s">
        <v>2844</v>
      </c>
      <c r="F265" t="s">
        <v>505</v>
      </c>
    </row>
    <row r="266" spans="1:6" x14ac:dyDescent="0.25">
      <c r="A266" t="s">
        <v>3647</v>
      </c>
      <c r="C266" t="s">
        <v>2845</v>
      </c>
      <c r="F266" t="s">
        <v>506</v>
      </c>
    </row>
    <row r="267" spans="1:6" x14ac:dyDescent="0.25">
      <c r="A267" t="s">
        <v>3648</v>
      </c>
      <c r="C267" t="s">
        <v>2846</v>
      </c>
      <c r="F267" t="s">
        <v>507</v>
      </c>
    </row>
    <row r="268" spans="1:6" x14ac:dyDescent="0.25">
      <c r="A268" t="s">
        <v>182</v>
      </c>
      <c r="C268" t="s">
        <v>2847</v>
      </c>
      <c r="F268" t="s">
        <v>508</v>
      </c>
    </row>
    <row r="269" spans="1:6" x14ac:dyDescent="0.25">
      <c r="A269" t="s">
        <v>3649</v>
      </c>
      <c r="C269" t="s">
        <v>2848</v>
      </c>
      <c r="F269" t="s">
        <v>509</v>
      </c>
    </row>
    <row r="270" spans="1:6" x14ac:dyDescent="0.25">
      <c r="A270" t="s">
        <v>55</v>
      </c>
      <c r="C270" t="s">
        <v>2849</v>
      </c>
      <c r="F270" t="s">
        <v>510</v>
      </c>
    </row>
    <row r="271" spans="1:6" x14ac:dyDescent="0.25">
      <c r="A271" t="s">
        <v>3650</v>
      </c>
      <c r="C271" t="s">
        <v>2850</v>
      </c>
      <c r="F271" t="s">
        <v>511</v>
      </c>
    </row>
    <row r="272" spans="1:6" x14ac:dyDescent="0.25">
      <c r="A272" t="s">
        <v>145</v>
      </c>
      <c r="C272" t="s">
        <v>916</v>
      </c>
      <c r="F272" t="s">
        <v>512</v>
      </c>
    </row>
    <row r="273" spans="1:6" x14ac:dyDescent="0.25">
      <c r="A273" t="s">
        <v>3651</v>
      </c>
      <c r="C273" t="s">
        <v>2851</v>
      </c>
      <c r="F273" t="s">
        <v>513</v>
      </c>
    </row>
    <row r="274" spans="1:6" x14ac:dyDescent="0.25">
      <c r="A274" t="s">
        <v>3652</v>
      </c>
      <c r="C274" t="s">
        <v>2852</v>
      </c>
      <c r="F274" t="s">
        <v>514</v>
      </c>
    </row>
    <row r="275" spans="1:6" x14ac:dyDescent="0.25">
      <c r="A275" t="s">
        <v>3653</v>
      </c>
      <c r="C275" t="s">
        <v>2853</v>
      </c>
      <c r="F275" t="s">
        <v>515</v>
      </c>
    </row>
    <row r="276" spans="1:6" x14ac:dyDescent="0.25">
      <c r="A276" t="s">
        <v>3654</v>
      </c>
      <c r="C276" t="s">
        <v>2854</v>
      </c>
      <c r="F276" t="s">
        <v>516</v>
      </c>
    </row>
    <row r="277" spans="1:6" x14ac:dyDescent="0.25">
      <c r="A277" t="s">
        <v>3655</v>
      </c>
      <c r="C277" t="s">
        <v>2855</v>
      </c>
      <c r="F277" t="s">
        <v>517</v>
      </c>
    </row>
    <row r="278" spans="1:6" x14ac:dyDescent="0.25">
      <c r="A278" t="s">
        <v>259</v>
      </c>
      <c r="C278" t="s">
        <v>2856</v>
      </c>
      <c r="F278" t="s">
        <v>518</v>
      </c>
    </row>
    <row r="279" spans="1:6" x14ac:dyDescent="0.25">
      <c r="A279" t="s">
        <v>3656</v>
      </c>
      <c r="C279" t="s">
        <v>2857</v>
      </c>
      <c r="F279" t="s">
        <v>519</v>
      </c>
    </row>
    <row r="280" spans="1:6" x14ac:dyDescent="0.25">
      <c r="A280" t="s">
        <v>284</v>
      </c>
      <c r="C280" t="s">
        <v>2858</v>
      </c>
      <c r="F280" t="s">
        <v>520</v>
      </c>
    </row>
    <row r="281" spans="1:6" x14ac:dyDescent="0.25">
      <c r="A281" t="s">
        <v>2447</v>
      </c>
      <c r="C281" t="s">
        <v>2859</v>
      </c>
      <c r="F281" t="s">
        <v>521</v>
      </c>
    </row>
    <row r="282" spans="1:6" x14ac:dyDescent="0.25">
      <c r="A282" t="s">
        <v>167</v>
      </c>
      <c r="C282" t="s">
        <v>2860</v>
      </c>
      <c r="F282" t="s">
        <v>522</v>
      </c>
    </row>
    <row r="283" spans="1:6" x14ac:dyDescent="0.25">
      <c r="A283" t="s">
        <v>3657</v>
      </c>
      <c r="C283" t="s">
        <v>2861</v>
      </c>
      <c r="F283" t="s">
        <v>523</v>
      </c>
    </row>
    <row r="284" spans="1:6" x14ac:dyDescent="0.25">
      <c r="A284" t="s">
        <v>303</v>
      </c>
      <c r="C284" t="s">
        <v>2862</v>
      </c>
      <c r="F284" t="s">
        <v>524</v>
      </c>
    </row>
    <row r="285" spans="1:6" x14ac:dyDescent="0.25">
      <c r="A285" t="s">
        <v>3658</v>
      </c>
      <c r="C285" t="s">
        <v>2863</v>
      </c>
      <c r="F285" t="s">
        <v>525</v>
      </c>
    </row>
    <row r="286" spans="1:6" x14ac:dyDescent="0.25">
      <c r="A286" t="s">
        <v>875</v>
      </c>
      <c r="C286" t="s">
        <v>2864</v>
      </c>
      <c r="F286" t="s">
        <v>526</v>
      </c>
    </row>
    <row r="287" spans="1:6" x14ac:dyDescent="0.25">
      <c r="A287" t="s">
        <v>530</v>
      </c>
      <c r="C287" t="s">
        <v>2865</v>
      </c>
      <c r="F287" t="s">
        <v>527</v>
      </c>
    </row>
    <row r="288" spans="1:6" x14ac:dyDescent="0.25">
      <c r="A288" t="s">
        <v>3659</v>
      </c>
      <c r="C288" t="s">
        <v>2866</v>
      </c>
      <c r="F288" t="s">
        <v>528</v>
      </c>
    </row>
    <row r="289" spans="1:6" x14ac:dyDescent="0.25">
      <c r="A289" t="s">
        <v>3660</v>
      </c>
      <c r="C289" t="s">
        <v>2867</v>
      </c>
      <c r="F289" t="s">
        <v>529</v>
      </c>
    </row>
    <row r="290" spans="1:6" x14ac:dyDescent="0.25">
      <c r="A290" t="s">
        <v>225</v>
      </c>
      <c r="C290" t="s">
        <v>2868</v>
      </c>
      <c r="F290" t="s">
        <v>530</v>
      </c>
    </row>
    <row r="291" spans="1:6" x14ac:dyDescent="0.25">
      <c r="A291" t="s">
        <v>105</v>
      </c>
      <c r="C291" t="s">
        <v>2869</v>
      </c>
      <c r="F291" t="s">
        <v>531</v>
      </c>
    </row>
    <row r="292" spans="1:6" x14ac:dyDescent="0.25">
      <c r="A292" t="s">
        <v>1969</v>
      </c>
      <c r="C292" t="s">
        <v>2870</v>
      </c>
      <c r="F292" t="s">
        <v>532</v>
      </c>
    </row>
    <row r="293" spans="1:6" x14ac:dyDescent="0.25">
      <c r="A293" t="s">
        <v>1251</v>
      </c>
      <c r="C293" t="s">
        <v>2871</v>
      </c>
      <c r="F293" t="s">
        <v>533</v>
      </c>
    </row>
    <row r="294" spans="1:6" x14ac:dyDescent="0.25">
      <c r="A294" t="s">
        <v>1334</v>
      </c>
      <c r="C294" t="s">
        <v>2872</v>
      </c>
      <c r="F294" t="s">
        <v>534</v>
      </c>
    </row>
    <row r="295" spans="1:6" x14ac:dyDescent="0.25">
      <c r="A295" t="s">
        <v>3661</v>
      </c>
      <c r="C295" t="s">
        <v>2873</v>
      </c>
      <c r="F295" t="s">
        <v>49</v>
      </c>
    </row>
    <row r="296" spans="1:6" x14ac:dyDescent="0.25">
      <c r="A296" t="s">
        <v>3662</v>
      </c>
      <c r="C296" t="s">
        <v>2874</v>
      </c>
      <c r="F296" t="s">
        <v>535</v>
      </c>
    </row>
    <row r="297" spans="1:6" x14ac:dyDescent="0.25">
      <c r="A297" t="s">
        <v>1122</v>
      </c>
      <c r="C297" t="s">
        <v>2875</v>
      </c>
      <c r="F297" t="s">
        <v>12</v>
      </c>
    </row>
    <row r="298" spans="1:6" x14ac:dyDescent="0.25">
      <c r="A298" t="s">
        <v>3663</v>
      </c>
      <c r="C298" t="s">
        <v>2876</v>
      </c>
      <c r="F298" t="s">
        <v>536</v>
      </c>
    </row>
    <row r="299" spans="1:6" x14ac:dyDescent="0.25">
      <c r="A299" t="s">
        <v>3664</v>
      </c>
      <c r="C299" t="s">
        <v>2877</v>
      </c>
      <c r="F299" t="s">
        <v>537</v>
      </c>
    </row>
    <row r="300" spans="1:6" x14ac:dyDescent="0.25">
      <c r="A300" t="s">
        <v>936</v>
      </c>
      <c r="C300" t="s">
        <v>2878</v>
      </c>
      <c r="F300" t="s">
        <v>538</v>
      </c>
    </row>
    <row r="301" spans="1:6" x14ac:dyDescent="0.25">
      <c r="A301" t="s">
        <v>3665</v>
      </c>
      <c r="C301" t="s">
        <v>2879</v>
      </c>
      <c r="F301" t="s">
        <v>539</v>
      </c>
    </row>
    <row r="302" spans="1:6" x14ac:dyDescent="0.25">
      <c r="A302" t="s">
        <v>21</v>
      </c>
      <c r="C302" t="s">
        <v>2880</v>
      </c>
      <c r="F302" t="s">
        <v>540</v>
      </c>
    </row>
    <row r="303" spans="1:6" x14ac:dyDescent="0.25">
      <c r="A303" t="s">
        <v>3666</v>
      </c>
      <c r="C303" t="s">
        <v>2881</v>
      </c>
      <c r="F303" t="s">
        <v>541</v>
      </c>
    </row>
    <row r="304" spans="1:6" x14ac:dyDescent="0.25">
      <c r="A304" t="s">
        <v>3667</v>
      </c>
      <c r="C304" t="s">
        <v>2882</v>
      </c>
      <c r="F304" t="s">
        <v>542</v>
      </c>
    </row>
    <row r="305" spans="1:6" x14ac:dyDescent="0.25">
      <c r="A305" t="s">
        <v>3668</v>
      </c>
      <c r="C305" t="s">
        <v>2883</v>
      </c>
      <c r="F305" t="s">
        <v>543</v>
      </c>
    </row>
    <row r="306" spans="1:6" x14ac:dyDescent="0.25">
      <c r="A306" t="s">
        <v>3669</v>
      </c>
      <c r="C306" t="s">
        <v>2884</v>
      </c>
      <c r="F306" t="s">
        <v>544</v>
      </c>
    </row>
    <row r="307" spans="1:6" x14ac:dyDescent="0.25">
      <c r="A307" t="s">
        <v>2207</v>
      </c>
      <c r="C307" t="s">
        <v>2885</v>
      </c>
      <c r="F307" t="s">
        <v>545</v>
      </c>
    </row>
    <row r="308" spans="1:6" x14ac:dyDescent="0.25">
      <c r="A308" t="s">
        <v>3670</v>
      </c>
      <c r="C308" t="s">
        <v>2886</v>
      </c>
      <c r="F308" t="s">
        <v>546</v>
      </c>
    </row>
    <row r="309" spans="1:6" x14ac:dyDescent="0.25">
      <c r="A309" t="s">
        <v>834</v>
      </c>
      <c r="C309" t="s">
        <v>2887</v>
      </c>
      <c r="F309" t="s">
        <v>547</v>
      </c>
    </row>
    <row r="310" spans="1:6" x14ac:dyDescent="0.25">
      <c r="A310" t="s">
        <v>2050</v>
      </c>
      <c r="C310" t="s">
        <v>2888</v>
      </c>
      <c r="F310" t="s">
        <v>548</v>
      </c>
    </row>
    <row r="311" spans="1:6" x14ac:dyDescent="0.25">
      <c r="A311" t="s">
        <v>3671</v>
      </c>
      <c r="C311" t="s">
        <v>1056</v>
      </c>
      <c r="F311" t="s">
        <v>549</v>
      </c>
    </row>
    <row r="312" spans="1:6" x14ac:dyDescent="0.25">
      <c r="A312" t="s">
        <v>3672</v>
      </c>
      <c r="C312" t="s">
        <v>2889</v>
      </c>
      <c r="F312" t="s">
        <v>550</v>
      </c>
    </row>
    <row r="313" spans="1:6" x14ac:dyDescent="0.25">
      <c r="A313" t="s">
        <v>241</v>
      </c>
      <c r="C313" t="s">
        <v>2890</v>
      </c>
      <c r="F313" t="s">
        <v>551</v>
      </c>
    </row>
    <row r="314" spans="1:6" x14ac:dyDescent="0.25">
      <c r="A314" t="s">
        <v>580</v>
      </c>
      <c r="C314" t="s">
        <v>2891</v>
      </c>
      <c r="F314" t="s">
        <v>552</v>
      </c>
    </row>
    <row r="315" spans="1:6" x14ac:dyDescent="0.25">
      <c r="A315" t="s">
        <v>2287</v>
      </c>
      <c r="C315" t="s">
        <v>2892</v>
      </c>
      <c r="F315" t="s">
        <v>553</v>
      </c>
    </row>
    <row r="316" spans="1:6" x14ac:dyDescent="0.25">
      <c r="A316" t="s">
        <v>3673</v>
      </c>
      <c r="C316" t="s">
        <v>2893</v>
      </c>
      <c r="F316" t="s">
        <v>554</v>
      </c>
    </row>
    <row r="317" spans="1:6" x14ac:dyDescent="0.25">
      <c r="A317" t="s">
        <v>2032</v>
      </c>
      <c r="C317" t="s">
        <v>2894</v>
      </c>
      <c r="F317" t="s">
        <v>555</v>
      </c>
    </row>
    <row r="318" spans="1:6" x14ac:dyDescent="0.25">
      <c r="A318" t="s">
        <v>3674</v>
      </c>
      <c r="C318" t="s">
        <v>2895</v>
      </c>
      <c r="F318" t="s">
        <v>556</v>
      </c>
    </row>
    <row r="319" spans="1:6" x14ac:dyDescent="0.25">
      <c r="A319" t="s">
        <v>1729</v>
      </c>
      <c r="C319" t="s">
        <v>2896</v>
      </c>
      <c r="F319" t="s">
        <v>557</v>
      </c>
    </row>
    <row r="320" spans="1:6" x14ac:dyDescent="0.25">
      <c r="A320" t="s">
        <v>3675</v>
      </c>
      <c r="C320" t="s">
        <v>2897</v>
      </c>
      <c r="F320" t="s">
        <v>558</v>
      </c>
    </row>
    <row r="321" spans="1:6" x14ac:dyDescent="0.25">
      <c r="A321" t="s">
        <v>3676</v>
      </c>
      <c r="C321" t="s">
        <v>2898</v>
      </c>
      <c r="F321" t="s">
        <v>559</v>
      </c>
    </row>
    <row r="322" spans="1:6" x14ac:dyDescent="0.25">
      <c r="A322" t="s">
        <v>431</v>
      </c>
      <c r="C322" t="s">
        <v>2899</v>
      </c>
      <c r="F322" t="s">
        <v>560</v>
      </c>
    </row>
    <row r="323" spans="1:6" x14ac:dyDescent="0.25">
      <c r="A323" t="s">
        <v>3677</v>
      </c>
      <c r="C323" t="s">
        <v>2900</v>
      </c>
      <c r="F323" t="s">
        <v>561</v>
      </c>
    </row>
    <row r="324" spans="1:6" x14ac:dyDescent="0.25">
      <c r="A324" t="s">
        <v>1021</v>
      </c>
      <c r="C324" t="s">
        <v>2901</v>
      </c>
      <c r="F324" t="s">
        <v>562</v>
      </c>
    </row>
    <row r="325" spans="1:6" x14ac:dyDescent="0.25">
      <c r="A325" t="s">
        <v>3678</v>
      </c>
      <c r="C325" t="s">
        <v>2902</v>
      </c>
      <c r="F325" t="s">
        <v>563</v>
      </c>
    </row>
    <row r="326" spans="1:6" x14ac:dyDescent="0.25">
      <c r="A326" t="s">
        <v>3679</v>
      </c>
      <c r="C326" t="s">
        <v>2903</v>
      </c>
      <c r="F326" t="s">
        <v>564</v>
      </c>
    </row>
    <row r="327" spans="1:6" x14ac:dyDescent="0.25">
      <c r="A327" t="s">
        <v>1137</v>
      </c>
      <c r="C327" t="s">
        <v>2904</v>
      </c>
      <c r="F327" t="s">
        <v>565</v>
      </c>
    </row>
    <row r="328" spans="1:6" x14ac:dyDescent="0.25">
      <c r="A328" t="s">
        <v>3680</v>
      </c>
      <c r="C328" t="s">
        <v>2905</v>
      </c>
      <c r="F328" t="s">
        <v>566</v>
      </c>
    </row>
    <row r="329" spans="1:6" x14ac:dyDescent="0.25">
      <c r="A329" t="s">
        <v>170</v>
      </c>
      <c r="C329" t="s">
        <v>2906</v>
      </c>
      <c r="F329" t="s">
        <v>567</v>
      </c>
    </row>
    <row r="330" spans="1:6" x14ac:dyDescent="0.25">
      <c r="A330" t="s">
        <v>2117</v>
      </c>
      <c r="C330" t="s">
        <v>2907</v>
      </c>
      <c r="F330" t="s">
        <v>568</v>
      </c>
    </row>
    <row r="331" spans="1:6" x14ac:dyDescent="0.25">
      <c r="A331" t="s">
        <v>2570</v>
      </c>
      <c r="C331" t="s">
        <v>2908</v>
      </c>
      <c r="F331" t="s">
        <v>569</v>
      </c>
    </row>
    <row r="332" spans="1:6" x14ac:dyDescent="0.25">
      <c r="A332" t="s">
        <v>3681</v>
      </c>
      <c r="C332" t="s">
        <v>2909</v>
      </c>
      <c r="F332" t="s">
        <v>570</v>
      </c>
    </row>
    <row r="333" spans="1:6" x14ac:dyDescent="0.25">
      <c r="A333" t="s">
        <v>3682</v>
      </c>
      <c r="C333" t="s">
        <v>2910</v>
      </c>
      <c r="F333" t="s">
        <v>571</v>
      </c>
    </row>
    <row r="334" spans="1:6" x14ac:dyDescent="0.25">
      <c r="A334" t="s">
        <v>143</v>
      </c>
      <c r="C334" t="s">
        <v>2911</v>
      </c>
      <c r="F334" t="s">
        <v>572</v>
      </c>
    </row>
    <row r="335" spans="1:6" x14ac:dyDescent="0.25">
      <c r="A335" t="s">
        <v>3683</v>
      </c>
      <c r="C335" t="s">
        <v>2912</v>
      </c>
      <c r="F335" t="s">
        <v>573</v>
      </c>
    </row>
    <row r="336" spans="1:6" x14ac:dyDescent="0.25">
      <c r="A336" t="s">
        <v>3684</v>
      </c>
      <c r="C336" t="s">
        <v>2913</v>
      </c>
      <c r="F336" t="s">
        <v>574</v>
      </c>
    </row>
    <row r="337" spans="1:6" x14ac:dyDescent="0.25">
      <c r="A337" t="s">
        <v>3685</v>
      </c>
      <c r="C337" t="s">
        <v>2914</v>
      </c>
      <c r="F337" t="s">
        <v>575</v>
      </c>
    </row>
    <row r="338" spans="1:6" x14ac:dyDescent="0.25">
      <c r="A338" t="s">
        <v>3686</v>
      </c>
      <c r="C338" t="s">
        <v>2915</v>
      </c>
      <c r="F338" t="s">
        <v>576</v>
      </c>
    </row>
    <row r="339" spans="1:6" x14ac:dyDescent="0.25">
      <c r="A339" t="s">
        <v>3687</v>
      </c>
      <c r="C339" t="s">
        <v>893</v>
      </c>
      <c r="F339" t="s">
        <v>577</v>
      </c>
    </row>
    <row r="340" spans="1:6" x14ac:dyDescent="0.25">
      <c r="A340" t="s">
        <v>3688</v>
      </c>
      <c r="C340" t="s">
        <v>2916</v>
      </c>
      <c r="F340" t="s">
        <v>578</v>
      </c>
    </row>
    <row r="341" spans="1:6" x14ac:dyDescent="0.25">
      <c r="A341" t="s">
        <v>3689</v>
      </c>
      <c r="C341" t="s">
        <v>2917</v>
      </c>
      <c r="F341" t="s">
        <v>579</v>
      </c>
    </row>
    <row r="342" spans="1:6" x14ac:dyDescent="0.25">
      <c r="A342" t="s">
        <v>3690</v>
      </c>
      <c r="C342" t="s">
        <v>2918</v>
      </c>
      <c r="F342" t="s">
        <v>580</v>
      </c>
    </row>
    <row r="343" spans="1:6" x14ac:dyDescent="0.25">
      <c r="A343" t="s">
        <v>73</v>
      </c>
      <c r="C343" t="s">
        <v>986</v>
      </c>
      <c r="F343" t="s">
        <v>581</v>
      </c>
    </row>
    <row r="344" spans="1:6" x14ac:dyDescent="0.25">
      <c r="A344" t="s">
        <v>3691</v>
      </c>
      <c r="C344" t="s">
        <v>2919</v>
      </c>
      <c r="F344" t="s">
        <v>582</v>
      </c>
    </row>
    <row r="345" spans="1:6" x14ac:dyDescent="0.25">
      <c r="A345" t="s">
        <v>2178</v>
      </c>
      <c r="C345" t="s">
        <v>2920</v>
      </c>
      <c r="F345" t="s">
        <v>583</v>
      </c>
    </row>
    <row r="346" spans="1:6" x14ac:dyDescent="0.25">
      <c r="A346" t="s">
        <v>1550</v>
      </c>
      <c r="C346" t="s">
        <v>2921</v>
      </c>
      <c r="F346" t="s">
        <v>584</v>
      </c>
    </row>
    <row r="347" spans="1:6" x14ac:dyDescent="0.25">
      <c r="A347" t="s">
        <v>153</v>
      </c>
      <c r="C347" t="s">
        <v>2922</v>
      </c>
      <c r="F347" t="s">
        <v>585</v>
      </c>
    </row>
    <row r="348" spans="1:6" x14ac:dyDescent="0.25">
      <c r="A348" t="s">
        <v>3692</v>
      </c>
      <c r="C348" t="s">
        <v>2923</v>
      </c>
      <c r="F348" t="s">
        <v>586</v>
      </c>
    </row>
    <row r="349" spans="1:6" x14ac:dyDescent="0.25">
      <c r="A349" t="s">
        <v>3693</v>
      </c>
      <c r="C349" t="s">
        <v>2924</v>
      </c>
      <c r="F349" t="s">
        <v>19</v>
      </c>
    </row>
    <row r="350" spans="1:6" x14ac:dyDescent="0.25">
      <c r="A350" t="s">
        <v>3694</v>
      </c>
      <c r="C350" t="s">
        <v>2925</v>
      </c>
      <c r="F350" t="s">
        <v>587</v>
      </c>
    </row>
    <row r="351" spans="1:6" x14ac:dyDescent="0.25">
      <c r="A351" t="s">
        <v>11</v>
      </c>
      <c r="C351" t="s">
        <v>2926</v>
      </c>
      <c r="F351" t="s">
        <v>588</v>
      </c>
    </row>
    <row r="352" spans="1:6" x14ac:dyDescent="0.25">
      <c r="A352" t="s">
        <v>3695</v>
      </c>
      <c r="C352" t="s">
        <v>2927</v>
      </c>
      <c r="F352" t="s">
        <v>589</v>
      </c>
    </row>
    <row r="353" spans="1:6" x14ac:dyDescent="0.25">
      <c r="A353" t="s">
        <v>944</v>
      </c>
      <c r="C353" t="s">
        <v>2928</v>
      </c>
      <c r="F353" t="s">
        <v>590</v>
      </c>
    </row>
    <row r="354" spans="1:6" x14ac:dyDescent="0.25">
      <c r="A354" t="s">
        <v>3696</v>
      </c>
      <c r="C354" t="s">
        <v>2929</v>
      </c>
      <c r="F354" t="s">
        <v>591</v>
      </c>
    </row>
    <row r="355" spans="1:6" x14ac:dyDescent="0.25">
      <c r="A355" t="s">
        <v>3697</v>
      </c>
      <c r="C355" t="s">
        <v>2930</v>
      </c>
      <c r="F355" t="s">
        <v>592</v>
      </c>
    </row>
    <row r="356" spans="1:6" x14ac:dyDescent="0.25">
      <c r="A356" t="s">
        <v>3698</v>
      </c>
      <c r="C356" t="s">
        <v>2931</v>
      </c>
      <c r="F356" t="s">
        <v>593</v>
      </c>
    </row>
    <row r="357" spans="1:6" x14ac:dyDescent="0.25">
      <c r="A357" t="s">
        <v>3699</v>
      </c>
      <c r="C357" t="s">
        <v>2932</v>
      </c>
      <c r="F357" t="s">
        <v>594</v>
      </c>
    </row>
    <row r="358" spans="1:6" x14ac:dyDescent="0.25">
      <c r="A358" t="s">
        <v>3700</v>
      </c>
      <c r="C358" t="s">
        <v>2933</v>
      </c>
      <c r="F358" t="s">
        <v>595</v>
      </c>
    </row>
    <row r="359" spans="1:6" x14ac:dyDescent="0.25">
      <c r="A359" t="s">
        <v>3701</v>
      </c>
      <c r="C359" t="s">
        <v>2934</v>
      </c>
      <c r="F359" t="s">
        <v>596</v>
      </c>
    </row>
    <row r="360" spans="1:6" x14ac:dyDescent="0.25">
      <c r="A360" t="s">
        <v>1609</v>
      </c>
      <c r="C360" t="s">
        <v>2935</v>
      </c>
      <c r="F360" t="s">
        <v>597</v>
      </c>
    </row>
    <row r="361" spans="1:6" x14ac:dyDescent="0.25">
      <c r="A361" t="s">
        <v>3702</v>
      </c>
      <c r="C361" t="s">
        <v>2936</v>
      </c>
      <c r="F361" t="s">
        <v>598</v>
      </c>
    </row>
    <row r="362" spans="1:6" x14ac:dyDescent="0.25">
      <c r="A362" t="s">
        <v>3703</v>
      </c>
      <c r="C362" t="s">
        <v>2937</v>
      </c>
      <c r="F362" t="s">
        <v>599</v>
      </c>
    </row>
    <row r="363" spans="1:6" x14ac:dyDescent="0.25">
      <c r="A363" t="s">
        <v>3704</v>
      </c>
      <c r="C363" t="s">
        <v>2938</v>
      </c>
      <c r="F363" t="s">
        <v>600</v>
      </c>
    </row>
    <row r="364" spans="1:6" x14ac:dyDescent="0.25">
      <c r="A364" t="s">
        <v>57</v>
      </c>
      <c r="C364" t="s">
        <v>1086</v>
      </c>
      <c r="F364" t="s">
        <v>601</v>
      </c>
    </row>
    <row r="365" spans="1:6" x14ac:dyDescent="0.25">
      <c r="A365" t="s">
        <v>2218</v>
      </c>
      <c r="C365" t="s">
        <v>2939</v>
      </c>
      <c r="F365" t="s">
        <v>602</v>
      </c>
    </row>
    <row r="366" spans="1:6" x14ac:dyDescent="0.25">
      <c r="A366" t="s">
        <v>3705</v>
      </c>
      <c r="C366" t="s">
        <v>2940</v>
      </c>
      <c r="F366" t="s">
        <v>603</v>
      </c>
    </row>
    <row r="367" spans="1:6" x14ac:dyDescent="0.25">
      <c r="A367" t="s">
        <v>3706</v>
      </c>
      <c r="C367" t="s">
        <v>2941</v>
      </c>
      <c r="F367" t="s">
        <v>604</v>
      </c>
    </row>
    <row r="368" spans="1:6" x14ac:dyDescent="0.25">
      <c r="A368" t="s">
        <v>1414</v>
      </c>
      <c r="C368" t="s">
        <v>2942</v>
      </c>
      <c r="F368" t="s">
        <v>605</v>
      </c>
    </row>
    <row r="369" spans="1:6" x14ac:dyDescent="0.25">
      <c r="A369" t="s">
        <v>1420</v>
      </c>
      <c r="C369" t="s">
        <v>2943</v>
      </c>
      <c r="F369" t="s">
        <v>606</v>
      </c>
    </row>
    <row r="370" spans="1:6" x14ac:dyDescent="0.25">
      <c r="A370" t="s">
        <v>1454</v>
      </c>
      <c r="C370" t="s">
        <v>2944</v>
      </c>
      <c r="F370" t="s">
        <v>607</v>
      </c>
    </row>
    <row r="371" spans="1:6" x14ac:dyDescent="0.25">
      <c r="A371" t="s">
        <v>3707</v>
      </c>
      <c r="C371" t="s">
        <v>2945</v>
      </c>
      <c r="F371" t="s">
        <v>608</v>
      </c>
    </row>
    <row r="372" spans="1:6" x14ac:dyDescent="0.25">
      <c r="A372" t="s">
        <v>280</v>
      </c>
      <c r="C372" t="s">
        <v>2946</v>
      </c>
      <c r="F372" t="s">
        <v>609</v>
      </c>
    </row>
    <row r="373" spans="1:6" x14ac:dyDescent="0.25">
      <c r="A373" t="s">
        <v>3708</v>
      </c>
      <c r="C373" t="s">
        <v>2947</v>
      </c>
      <c r="F373" t="s">
        <v>610</v>
      </c>
    </row>
    <row r="374" spans="1:6" x14ac:dyDescent="0.25">
      <c r="A374" t="s">
        <v>3709</v>
      </c>
      <c r="C374" t="s">
        <v>2948</v>
      </c>
      <c r="F374" t="s">
        <v>611</v>
      </c>
    </row>
    <row r="375" spans="1:6" x14ac:dyDescent="0.25">
      <c r="A375" t="s">
        <v>3710</v>
      </c>
      <c r="C375" t="s">
        <v>2949</v>
      </c>
      <c r="F375" t="s">
        <v>612</v>
      </c>
    </row>
    <row r="376" spans="1:6" x14ac:dyDescent="0.25">
      <c r="A376" t="s">
        <v>1735</v>
      </c>
      <c r="C376" t="s">
        <v>2950</v>
      </c>
      <c r="F376" t="s">
        <v>613</v>
      </c>
    </row>
    <row r="377" spans="1:6" x14ac:dyDescent="0.25">
      <c r="A377" t="s">
        <v>2729</v>
      </c>
      <c r="C377" t="s">
        <v>2951</v>
      </c>
      <c r="F377" t="s">
        <v>614</v>
      </c>
    </row>
    <row r="378" spans="1:6" x14ac:dyDescent="0.25">
      <c r="A378" t="s">
        <v>3711</v>
      </c>
      <c r="C378" t="s">
        <v>2952</v>
      </c>
      <c r="F378" t="s">
        <v>615</v>
      </c>
    </row>
    <row r="379" spans="1:6" x14ac:dyDescent="0.25">
      <c r="A379" t="s">
        <v>2567</v>
      </c>
      <c r="C379" t="s">
        <v>2953</v>
      </c>
      <c r="F379" t="s">
        <v>616</v>
      </c>
    </row>
    <row r="380" spans="1:6" x14ac:dyDescent="0.25">
      <c r="A380" t="s">
        <v>3712</v>
      </c>
      <c r="C380" t="s">
        <v>2954</v>
      </c>
      <c r="F380" t="s">
        <v>150</v>
      </c>
    </row>
    <row r="381" spans="1:6" x14ac:dyDescent="0.25">
      <c r="A381" t="s">
        <v>1365</v>
      </c>
      <c r="C381" t="s">
        <v>2955</v>
      </c>
      <c r="F381" t="s">
        <v>617</v>
      </c>
    </row>
    <row r="382" spans="1:6" x14ac:dyDescent="0.25">
      <c r="A382" t="s">
        <v>3713</v>
      </c>
      <c r="C382" t="s">
        <v>2956</v>
      </c>
      <c r="F382" t="s">
        <v>618</v>
      </c>
    </row>
    <row r="383" spans="1:6" x14ac:dyDescent="0.25">
      <c r="A383" t="s">
        <v>3714</v>
      </c>
      <c r="C383" t="s">
        <v>2957</v>
      </c>
      <c r="F383" t="s">
        <v>619</v>
      </c>
    </row>
    <row r="384" spans="1:6" x14ac:dyDescent="0.25">
      <c r="A384" t="s">
        <v>3715</v>
      </c>
      <c r="C384" t="s">
        <v>2958</v>
      </c>
      <c r="F384" t="s">
        <v>620</v>
      </c>
    </row>
    <row r="385" spans="1:6" x14ac:dyDescent="0.25">
      <c r="A385" t="s">
        <v>3716</v>
      </c>
      <c r="C385" t="s">
        <v>2959</v>
      </c>
      <c r="F385" t="s">
        <v>621</v>
      </c>
    </row>
    <row r="386" spans="1:6" x14ac:dyDescent="0.25">
      <c r="A386" t="s">
        <v>3717</v>
      </c>
      <c r="C386" t="s">
        <v>2960</v>
      </c>
      <c r="F386" t="s">
        <v>622</v>
      </c>
    </row>
    <row r="387" spans="1:6" x14ac:dyDescent="0.25">
      <c r="A387" t="s">
        <v>3718</v>
      </c>
      <c r="C387" t="s">
        <v>2961</v>
      </c>
      <c r="F387" t="s">
        <v>623</v>
      </c>
    </row>
    <row r="388" spans="1:6" x14ac:dyDescent="0.25">
      <c r="A388" t="s">
        <v>3719</v>
      </c>
      <c r="C388" t="s">
        <v>2962</v>
      </c>
      <c r="F388" t="s">
        <v>624</v>
      </c>
    </row>
    <row r="389" spans="1:6" x14ac:dyDescent="0.25">
      <c r="A389" t="s">
        <v>3720</v>
      </c>
      <c r="C389" t="s">
        <v>2963</v>
      </c>
      <c r="F389" t="s">
        <v>625</v>
      </c>
    </row>
    <row r="390" spans="1:6" x14ac:dyDescent="0.25">
      <c r="A390" t="s">
        <v>3721</v>
      </c>
      <c r="C390" t="s">
        <v>2964</v>
      </c>
      <c r="F390" t="s">
        <v>626</v>
      </c>
    </row>
    <row r="391" spans="1:6" x14ac:dyDescent="0.25">
      <c r="A391" t="s">
        <v>3722</v>
      </c>
      <c r="C391" t="s">
        <v>2965</v>
      </c>
      <c r="F391" t="s">
        <v>627</v>
      </c>
    </row>
    <row r="392" spans="1:6" x14ac:dyDescent="0.25">
      <c r="A392" t="s">
        <v>3723</v>
      </c>
      <c r="C392" t="s">
        <v>2966</v>
      </c>
      <c r="F392" t="s">
        <v>628</v>
      </c>
    </row>
    <row r="393" spans="1:6" x14ac:dyDescent="0.25">
      <c r="A393" t="s">
        <v>2027</v>
      </c>
      <c r="C393" t="s">
        <v>1846</v>
      </c>
      <c r="F393" t="s">
        <v>629</v>
      </c>
    </row>
    <row r="394" spans="1:6" x14ac:dyDescent="0.25">
      <c r="A394" t="s">
        <v>3724</v>
      </c>
      <c r="C394" t="s">
        <v>2967</v>
      </c>
      <c r="F394" t="s">
        <v>630</v>
      </c>
    </row>
    <row r="395" spans="1:6" x14ac:dyDescent="0.25">
      <c r="A395" t="s">
        <v>3725</v>
      </c>
      <c r="C395" t="s">
        <v>883</v>
      </c>
      <c r="F395" t="s">
        <v>631</v>
      </c>
    </row>
    <row r="396" spans="1:6" x14ac:dyDescent="0.25">
      <c r="A396" t="s">
        <v>649</v>
      </c>
      <c r="C396" t="s">
        <v>2968</v>
      </c>
      <c r="F396" t="s">
        <v>632</v>
      </c>
    </row>
    <row r="397" spans="1:6" x14ac:dyDescent="0.25">
      <c r="A397" t="s">
        <v>3726</v>
      </c>
      <c r="C397" t="s">
        <v>2969</v>
      </c>
      <c r="F397" t="s">
        <v>633</v>
      </c>
    </row>
    <row r="398" spans="1:6" x14ac:dyDescent="0.25">
      <c r="A398" t="s">
        <v>3727</v>
      </c>
      <c r="C398" t="s">
        <v>2970</v>
      </c>
      <c r="F398" t="s">
        <v>634</v>
      </c>
    </row>
    <row r="399" spans="1:6" x14ac:dyDescent="0.25">
      <c r="A399" t="s">
        <v>3728</v>
      </c>
      <c r="C399" t="s">
        <v>2971</v>
      </c>
      <c r="F399" t="s">
        <v>635</v>
      </c>
    </row>
    <row r="400" spans="1:6" x14ac:dyDescent="0.25">
      <c r="A400" t="s">
        <v>177</v>
      </c>
      <c r="C400" t="s">
        <v>2972</v>
      </c>
      <c r="F400" t="s">
        <v>636</v>
      </c>
    </row>
    <row r="401" spans="1:6" x14ac:dyDescent="0.25">
      <c r="A401" t="s">
        <v>1423</v>
      </c>
      <c r="C401" t="s">
        <v>2973</v>
      </c>
      <c r="F401" t="s">
        <v>637</v>
      </c>
    </row>
    <row r="402" spans="1:6" x14ac:dyDescent="0.25">
      <c r="A402" t="s">
        <v>3729</v>
      </c>
      <c r="C402" t="s">
        <v>2974</v>
      </c>
      <c r="F402" t="s">
        <v>638</v>
      </c>
    </row>
    <row r="403" spans="1:6" x14ac:dyDescent="0.25">
      <c r="A403" t="s">
        <v>2514</v>
      </c>
      <c r="C403" t="s">
        <v>2975</v>
      </c>
      <c r="F403" t="s">
        <v>639</v>
      </c>
    </row>
    <row r="404" spans="1:6" x14ac:dyDescent="0.25">
      <c r="A404" t="s">
        <v>26</v>
      </c>
      <c r="C404" t="s">
        <v>2976</v>
      </c>
      <c r="F404" t="s">
        <v>640</v>
      </c>
    </row>
    <row r="405" spans="1:6" x14ac:dyDescent="0.25">
      <c r="A405" t="s">
        <v>3730</v>
      </c>
      <c r="C405" t="s">
        <v>2977</v>
      </c>
      <c r="F405" t="s">
        <v>641</v>
      </c>
    </row>
    <row r="406" spans="1:6" x14ac:dyDescent="0.25">
      <c r="A406" t="s">
        <v>3731</v>
      </c>
      <c r="C406" t="s">
        <v>2978</v>
      </c>
      <c r="F406" t="s">
        <v>642</v>
      </c>
    </row>
    <row r="407" spans="1:6" x14ac:dyDescent="0.25">
      <c r="A407" t="s">
        <v>3732</v>
      </c>
      <c r="C407" t="s">
        <v>2979</v>
      </c>
      <c r="F407" t="s">
        <v>643</v>
      </c>
    </row>
    <row r="408" spans="1:6" x14ac:dyDescent="0.25">
      <c r="A408" t="s">
        <v>3733</v>
      </c>
      <c r="C408" t="s">
        <v>2980</v>
      </c>
      <c r="F408" t="s">
        <v>644</v>
      </c>
    </row>
    <row r="409" spans="1:6" x14ac:dyDescent="0.25">
      <c r="A409" t="s">
        <v>3734</v>
      </c>
      <c r="C409" t="s">
        <v>2981</v>
      </c>
      <c r="F409" t="s">
        <v>645</v>
      </c>
    </row>
    <row r="410" spans="1:6" x14ac:dyDescent="0.25">
      <c r="A410" t="s">
        <v>3735</v>
      </c>
      <c r="C410" t="s">
        <v>2982</v>
      </c>
      <c r="F410" t="s">
        <v>646</v>
      </c>
    </row>
    <row r="411" spans="1:6" x14ac:dyDescent="0.25">
      <c r="A411" t="s">
        <v>3736</v>
      </c>
      <c r="C411" t="s">
        <v>2983</v>
      </c>
      <c r="F411" t="s">
        <v>647</v>
      </c>
    </row>
    <row r="412" spans="1:6" x14ac:dyDescent="0.25">
      <c r="A412" t="s">
        <v>6</v>
      </c>
      <c r="C412" t="s">
        <v>2984</v>
      </c>
      <c r="F412" t="s">
        <v>648</v>
      </c>
    </row>
    <row r="413" spans="1:6" x14ac:dyDescent="0.25">
      <c r="A413" t="s">
        <v>3737</v>
      </c>
      <c r="C413" t="s">
        <v>2985</v>
      </c>
      <c r="F413" t="s">
        <v>649</v>
      </c>
    </row>
    <row r="414" spans="1:6" x14ac:dyDescent="0.25">
      <c r="A414" t="s">
        <v>3738</v>
      </c>
      <c r="C414" t="s">
        <v>2986</v>
      </c>
      <c r="F414" t="s">
        <v>650</v>
      </c>
    </row>
    <row r="415" spans="1:6" x14ac:dyDescent="0.25">
      <c r="A415" t="s">
        <v>3739</v>
      </c>
      <c r="C415" t="s">
        <v>2987</v>
      </c>
      <c r="F415" t="s">
        <v>651</v>
      </c>
    </row>
    <row r="416" spans="1:6" x14ac:dyDescent="0.25">
      <c r="A416" t="s">
        <v>1816</v>
      </c>
      <c r="C416" t="s">
        <v>2988</v>
      </c>
      <c r="F416" t="s">
        <v>652</v>
      </c>
    </row>
    <row r="417" spans="1:6" x14ac:dyDescent="0.25">
      <c r="A417" t="s">
        <v>363</v>
      </c>
      <c r="C417" t="s">
        <v>2989</v>
      </c>
      <c r="F417" t="s">
        <v>653</v>
      </c>
    </row>
    <row r="418" spans="1:6" x14ac:dyDescent="0.25">
      <c r="A418" t="s">
        <v>3740</v>
      </c>
      <c r="C418" t="s">
        <v>2990</v>
      </c>
      <c r="F418" t="s">
        <v>654</v>
      </c>
    </row>
    <row r="419" spans="1:6" x14ac:dyDescent="0.25">
      <c r="A419" t="s">
        <v>3741</v>
      </c>
      <c r="C419" t="s">
        <v>2991</v>
      </c>
      <c r="F419" t="s">
        <v>655</v>
      </c>
    </row>
    <row r="420" spans="1:6" x14ac:dyDescent="0.25">
      <c r="A420" t="s">
        <v>3742</v>
      </c>
      <c r="C420" t="s">
        <v>2992</v>
      </c>
      <c r="F420" t="s">
        <v>656</v>
      </c>
    </row>
    <row r="421" spans="1:6" x14ac:dyDescent="0.25">
      <c r="A421" t="s">
        <v>3743</v>
      </c>
      <c r="C421" t="s">
        <v>2993</v>
      </c>
      <c r="F421" t="s">
        <v>657</v>
      </c>
    </row>
    <row r="422" spans="1:6" x14ac:dyDescent="0.25">
      <c r="A422" t="s">
        <v>3744</v>
      </c>
      <c r="C422" t="s">
        <v>2994</v>
      </c>
      <c r="F422" t="s">
        <v>658</v>
      </c>
    </row>
    <row r="423" spans="1:6" x14ac:dyDescent="0.25">
      <c r="A423" t="s">
        <v>3745</v>
      </c>
      <c r="C423" t="s">
        <v>1035</v>
      </c>
      <c r="F423" t="s">
        <v>659</v>
      </c>
    </row>
    <row r="424" spans="1:6" x14ac:dyDescent="0.25">
      <c r="A424" t="s">
        <v>3746</v>
      </c>
      <c r="C424" t="s">
        <v>2995</v>
      </c>
      <c r="F424" t="s">
        <v>660</v>
      </c>
    </row>
    <row r="425" spans="1:6" x14ac:dyDescent="0.25">
      <c r="A425" t="s">
        <v>3747</v>
      </c>
      <c r="C425" t="s">
        <v>2996</v>
      </c>
      <c r="F425" t="s">
        <v>661</v>
      </c>
    </row>
    <row r="426" spans="1:6" x14ac:dyDescent="0.25">
      <c r="A426" t="s">
        <v>3748</v>
      </c>
      <c r="C426" t="s">
        <v>2997</v>
      </c>
      <c r="F426" t="s">
        <v>662</v>
      </c>
    </row>
    <row r="427" spans="1:6" x14ac:dyDescent="0.25">
      <c r="A427" t="s">
        <v>2431</v>
      </c>
      <c r="C427" t="s">
        <v>2998</v>
      </c>
      <c r="F427" t="s">
        <v>663</v>
      </c>
    </row>
    <row r="428" spans="1:6" x14ac:dyDescent="0.25">
      <c r="A428" t="s">
        <v>3749</v>
      </c>
      <c r="C428" t="s">
        <v>2999</v>
      </c>
      <c r="F428" t="s">
        <v>664</v>
      </c>
    </row>
    <row r="429" spans="1:6" x14ac:dyDescent="0.25">
      <c r="A429" t="s">
        <v>3750</v>
      </c>
      <c r="C429" t="s">
        <v>3000</v>
      </c>
      <c r="F429" t="s">
        <v>173</v>
      </c>
    </row>
    <row r="430" spans="1:6" x14ac:dyDescent="0.25">
      <c r="A430" t="s">
        <v>166</v>
      </c>
      <c r="C430" t="s">
        <v>3001</v>
      </c>
      <c r="F430" t="s">
        <v>665</v>
      </c>
    </row>
    <row r="431" spans="1:6" x14ac:dyDescent="0.25">
      <c r="A431" t="s">
        <v>3751</v>
      </c>
      <c r="C431" t="s">
        <v>3002</v>
      </c>
      <c r="F431" t="s">
        <v>666</v>
      </c>
    </row>
    <row r="432" spans="1:6" x14ac:dyDescent="0.25">
      <c r="A432" t="s">
        <v>3752</v>
      </c>
      <c r="C432" t="s">
        <v>3003</v>
      </c>
      <c r="F432" t="s">
        <v>667</v>
      </c>
    </row>
    <row r="433" spans="1:6" x14ac:dyDescent="0.25">
      <c r="A433" t="s">
        <v>202</v>
      </c>
      <c r="C433" t="s">
        <v>3004</v>
      </c>
      <c r="F433" t="s">
        <v>668</v>
      </c>
    </row>
    <row r="434" spans="1:6" x14ac:dyDescent="0.25">
      <c r="A434" t="s">
        <v>3753</v>
      </c>
      <c r="C434" t="s">
        <v>3005</v>
      </c>
      <c r="F434" t="s">
        <v>669</v>
      </c>
    </row>
    <row r="435" spans="1:6" x14ac:dyDescent="0.25">
      <c r="A435" t="s">
        <v>3754</v>
      </c>
      <c r="C435" t="s">
        <v>3006</v>
      </c>
      <c r="F435" t="s">
        <v>670</v>
      </c>
    </row>
    <row r="436" spans="1:6" x14ac:dyDescent="0.25">
      <c r="A436" t="s">
        <v>3755</v>
      </c>
      <c r="C436" t="s">
        <v>3007</v>
      </c>
      <c r="F436" t="s">
        <v>671</v>
      </c>
    </row>
    <row r="437" spans="1:6" x14ac:dyDescent="0.25">
      <c r="A437" t="s">
        <v>1734</v>
      </c>
      <c r="C437" t="s">
        <v>3008</v>
      </c>
      <c r="F437" t="s">
        <v>672</v>
      </c>
    </row>
    <row r="438" spans="1:6" x14ac:dyDescent="0.25">
      <c r="A438" t="s">
        <v>3756</v>
      </c>
      <c r="C438" t="s">
        <v>3009</v>
      </c>
      <c r="F438" t="s">
        <v>673</v>
      </c>
    </row>
    <row r="439" spans="1:6" x14ac:dyDescent="0.25">
      <c r="A439" t="s">
        <v>3757</v>
      </c>
      <c r="C439" t="s">
        <v>3010</v>
      </c>
      <c r="F439" t="s">
        <v>674</v>
      </c>
    </row>
    <row r="440" spans="1:6" x14ac:dyDescent="0.25">
      <c r="A440" t="s">
        <v>3758</v>
      </c>
      <c r="C440" t="s">
        <v>3011</v>
      </c>
      <c r="F440" t="s">
        <v>675</v>
      </c>
    </row>
    <row r="441" spans="1:6" x14ac:dyDescent="0.25">
      <c r="A441" t="s">
        <v>3759</v>
      </c>
      <c r="C441" t="s">
        <v>3012</v>
      </c>
      <c r="F441" t="s">
        <v>676</v>
      </c>
    </row>
    <row r="442" spans="1:6" x14ac:dyDescent="0.25">
      <c r="A442" t="s">
        <v>3760</v>
      </c>
      <c r="C442" t="s">
        <v>3013</v>
      </c>
      <c r="F442" t="s">
        <v>677</v>
      </c>
    </row>
    <row r="443" spans="1:6" x14ac:dyDescent="0.25">
      <c r="A443" t="s">
        <v>3761</v>
      </c>
      <c r="C443" t="s">
        <v>3014</v>
      </c>
      <c r="F443" t="s">
        <v>678</v>
      </c>
    </row>
    <row r="444" spans="1:6" x14ac:dyDescent="0.25">
      <c r="A444" t="s">
        <v>3762</v>
      </c>
      <c r="C444" t="s">
        <v>3015</v>
      </c>
      <c r="F444" t="s">
        <v>679</v>
      </c>
    </row>
    <row r="445" spans="1:6" x14ac:dyDescent="0.25">
      <c r="A445" t="s">
        <v>3763</v>
      </c>
      <c r="C445" t="s">
        <v>3016</v>
      </c>
      <c r="F445" t="s">
        <v>680</v>
      </c>
    </row>
    <row r="446" spans="1:6" x14ac:dyDescent="0.25">
      <c r="A446" t="s">
        <v>140</v>
      </c>
      <c r="C446" t="s">
        <v>3017</v>
      </c>
      <c r="F446" t="s">
        <v>681</v>
      </c>
    </row>
    <row r="447" spans="1:6" x14ac:dyDescent="0.25">
      <c r="A447" t="s">
        <v>3764</v>
      </c>
      <c r="C447" t="s">
        <v>3018</v>
      </c>
      <c r="F447" t="s">
        <v>682</v>
      </c>
    </row>
    <row r="448" spans="1:6" x14ac:dyDescent="0.25">
      <c r="A448" t="s">
        <v>3765</v>
      </c>
      <c r="C448" t="s">
        <v>3019</v>
      </c>
      <c r="F448" t="s">
        <v>683</v>
      </c>
    </row>
    <row r="449" spans="1:6" x14ac:dyDescent="0.25">
      <c r="A449" t="s">
        <v>1769</v>
      </c>
      <c r="C449" t="s">
        <v>3020</v>
      </c>
      <c r="F449" t="s">
        <v>684</v>
      </c>
    </row>
    <row r="450" spans="1:6" x14ac:dyDescent="0.25">
      <c r="A450" t="s">
        <v>3766</v>
      </c>
      <c r="C450" t="s">
        <v>3021</v>
      </c>
      <c r="F450" t="s">
        <v>685</v>
      </c>
    </row>
    <row r="451" spans="1:6" x14ac:dyDescent="0.25">
      <c r="A451" t="s">
        <v>2568</v>
      </c>
      <c r="C451" t="s">
        <v>3022</v>
      </c>
      <c r="F451" t="s">
        <v>686</v>
      </c>
    </row>
    <row r="452" spans="1:6" x14ac:dyDescent="0.25">
      <c r="A452" t="s">
        <v>3767</v>
      </c>
      <c r="C452" t="s">
        <v>3023</v>
      </c>
      <c r="F452" t="s">
        <v>687</v>
      </c>
    </row>
    <row r="453" spans="1:6" x14ac:dyDescent="0.25">
      <c r="A453" t="s">
        <v>3768</v>
      </c>
      <c r="C453" t="s">
        <v>3024</v>
      </c>
      <c r="F453" t="s">
        <v>688</v>
      </c>
    </row>
    <row r="454" spans="1:6" x14ac:dyDescent="0.25">
      <c r="A454" t="s">
        <v>3769</v>
      </c>
      <c r="C454" t="s">
        <v>3025</v>
      </c>
      <c r="F454" t="s">
        <v>689</v>
      </c>
    </row>
    <row r="455" spans="1:6" x14ac:dyDescent="0.25">
      <c r="A455" t="s">
        <v>3770</v>
      </c>
      <c r="C455" t="s">
        <v>3026</v>
      </c>
      <c r="F455" t="s">
        <v>690</v>
      </c>
    </row>
    <row r="456" spans="1:6" x14ac:dyDescent="0.25">
      <c r="A456" t="s">
        <v>3771</v>
      </c>
      <c r="C456" t="s">
        <v>3027</v>
      </c>
      <c r="F456" t="s">
        <v>691</v>
      </c>
    </row>
    <row r="457" spans="1:6" x14ac:dyDescent="0.25">
      <c r="A457" t="s">
        <v>3772</v>
      </c>
      <c r="C457" t="s">
        <v>3028</v>
      </c>
      <c r="F457" t="s">
        <v>692</v>
      </c>
    </row>
    <row r="458" spans="1:6" x14ac:dyDescent="0.25">
      <c r="A458" t="s">
        <v>223</v>
      </c>
      <c r="C458" t="s">
        <v>3029</v>
      </c>
      <c r="F458" t="s">
        <v>693</v>
      </c>
    </row>
    <row r="459" spans="1:6" x14ac:dyDescent="0.25">
      <c r="A459" t="s">
        <v>1119</v>
      </c>
      <c r="C459" t="s">
        <v>3030</v>
      </c>
      <c r="F459" t="s">
        <v>694</v>
      </c>
    </row>
    <row r="460" spans="1:6" x14ac:dyDescent="0.25">
      <c r="A460" t="s">
        <v>3773</v>
      </c>
      <c r="C460" t="s">
        <v>3031</v>
      </c>
      <c r="F460" t="s">
        <v>695</v>
      </c>
    </row>
    <row r="461" spans="1:6" x14ac:dyDescent="0.25">
      <c r="A461" t="s">
        <v>2541</v>
      </c>
      <c r="C461" t="s">
        <v>3032</v>
      </c>
      <c r="F461" t="s">
        <v>696</v>
      </c>
    </row>
    <row r="462" spans="1:6" x14ac:dyDescent="0.25">
      <c r="A462" t="s">
        <v>3774</v>
      </c>
      <c r="C462" t="s">
        <v>3033</v>
      </c>
      <c r="F462" t="s">
        <v>697</v>
      </c>
    </row>
    <row r="463" spans="1:6" x14ac:dyDescent="0.25">
      <c r="A463" t="s">
        <v>3775</v>
      </c>
      <c r="C463" t="s">
        <v>3034</v>
      </c>
      <c r="F463" t="s">
        <v>698</v>
      </c>
    </row>
    <row r="464" spans="1:6" x14ac:dyDescent="0.25">
      <c r="A464" t="s">
        <v>3776</v>
      </c>
      <c r="C464" t="s">
        <v>3035</v>
      </c>
      <c r="F464" t="s">
        <v>699</v>
      </c>
    </row>
    <row r="465" spans="1:6" x14ac:dyDescent="0.25">
      <c r="A465" t="s">
        <v>3777</v>
      </c>
      <c r="C465" t="s">
        <v>3036</v>
      </c>
      <c r="F465" t="s">
        <v>700</v>
      </c>
    </row>
    <row r="466" spans="1:6" x14ac:dyDescent="0.25">
      <c r="A466" t="s">
        <v>3778</v>
      </c>
      <c r="C466" t="s">
        <v>3037</v>
      </c>
      <c r="F466" t="s">
        <v>701</v>
      </c>
    </row>
    <row r="467" spans="1:6" x14ac:dyDescent="0.25">
      <c r="A467" t="s">
        <v>3779</v>
      </c>
      <c r="C467" t="s">
        <v>3038</v>
      </c>
      <c r="F467" t="s">
        <v>702</v>
      </c>
    </row>
    <row r="468" spans="1:6" x14ac:dyDescent="0.25">
      <c r="A468" t="s">
        <v>116</v>
      </c>
      <c r="C468" t="s">
        <v>3039</v>
      </c>
      <c r="F468" t="s">
        <v>703</v>
      </c>
    </row>
    <row r="469" spans="1:6" x14ac:dyDescent="0.25">
      <c r="A469" t="s">
        <v>3780</v>
      </c>
      <c r="C469" t="s">
        <v>3040</v>
      </c>
      <c r="F469" t="s">
        <v>704</v>
      </c>
    </row>
    <row r="470" spans="1:6" x14ac:dyDescent="0.25">
      <c r="A470" t="s">
        <v>3781</v>
      </c>
      <c r="C470" t="s">
        <v>3041</v>
      </c>
      <c r="F470" t="s">
        <v>705</v>
      </c>
    </row>
    <row r="471" spans="1:6" x14ac:dyDescent="0.25">
      <c r="A471" t="s">
        <v>3782</v>
      </c>
      <c r="C471" t="s">
        <v>3042</v>
      </c>
      <c r="F471" t="s">
        <v>706</v>
      </c>
    </row>
    <row r="472" spans="1:6" x14ac:dyDescent="0.25">
      <c r="A472" t="s">
        <v>3783</v>
      </c>
      <c r="C472" t="s">
        <v>1604</v>
      </c>
      <c r="F472" t="s">
        <v>707</v>
      </c>
    </row>
    <row r="473" spans="1:6" x14ac:dyDescent="0.25">
      <c r="A473" t="s">
        <v>78</v>
      </c>
      <c r="C473" t="s">
        <v>3043</v>
      </c>
      <c r="F473" t="s">
        <v>708</v>
      </c>
    </row>
    <row r="474" spans="1:6" x14ac:dyDescent="0.25">
      <c r="A474" t="s">
        <v>1339</v>
      </c>
      <c r="C474" t="s">
        <v>3044</v>
      </c>
      <c r="F474" t="s">
        <v>709</v>
      </c>
    </row>
    <row r="475" spans="1:6" x14ac:dyDescent="0.25">
      <c r="A475" t="s">
        <v>3784</v>
      </c>
      <c r="C475" t="s">
        <v>3045</v>
      </c>
      <c r="F475" t="s">
        <v>710</v>
      </c>
    </row>
    <row r="476" spans="1:6" x14ac:dyDescent="0.25">
      <c r="A476" t="s">
        <v>3785</v>
      </c>
      <c r="C476" t="s">
        <v>3046</v>
      </c>
      <c r="F476" t="s">
        <v>711</v>
      </c>
    </row>
    <row r="477" spans="1:6" x14ac:dyDescent="0.25">
      <c r="A477" t="s">
        <v>1619</v>
      </c>
      <c r="C477" t="s">
        <v>3047</v>
      </c>
      <c r="F477" t="s">
        <v>712</v>
      </c>
    </row>
    <row r="478" spans="1:6" x14ac:dyDescent="0.25">
      <c r="A478" t="s">
        <v>3786</v>
      </c>
      <c r="C478" t="s">
        <v>3048</v>
      </c>
      <c r="F478" t="s">
        <v>713</v>
      </c>
    </row>
    <row r="479" spans="1:6" x14ac:dyDescent="0.25">
      <c r="A479" t="s">
        <v>3787</v>
      </c>
      <c r="C479" t="s">
        <v>3049</v>
      </c>
      <c r="F479" t="s">
        <v>714</v>
      </c>
    </row>
    <row r="480" spans="1:6" x14ac:dyDescent="0.25">
      <c r="A480" t="s">
        <v>3788</v>
      </c>
      <c r="C480" t="s">
        <v>3050</v>
      </c>
      <c r="F480" t="s">
        <v>715</v>
      </c>
    </row>
    <row r="481" spans="1:6" x14ac:dyDescent="0.25">
      <c r="A481" t="s">
        <v>3789</v>
      </c>
      <c r="C481" t="s">
        <v>3051</v>
      </c>
      <c r="F481" t="s">
        <v>716</v>
      </c>
    </row>
    <row r="482" spans="1:6" x14ac:dyDescent="0.25">
      <c r="A482" t="s">
        <v>3790</v>
      </c>
      <c r="C482" t="s">
        <v>3052</v>
      </c>
      <c r="F482" t="s">
        <v>717</v>
      </c>
    </row>
    <row r="483" spans="1:6" x14ac:dyDescent="0.25">
      <c r="A483" t="s">
        <v>3791</v>
      </c>
      <c r="C483" t="s">
        <v>3053</v>
      </c>
      <c r="F483" t="s">
        <v>718</v>
      </c>
    </row>
    <row r="484" spans="1:6" x14ac:dyDescent="0.25">
      <c r="A484" t="s">
        <v>3792</v>
      </c>
      <c r="C484" t="s">
        <v>3054</v>
      </c>
      <c r="F484" t="s">
        <v>719</v>
      </c>
    </row>
    <row r="485" spans="1:6" x14ac:dyDescent="0.25">
      <c r="A485" t="s">
        <v>1439</v>
      </c>
      <c r="C485" t="s">
        <v>3055</v>
      </c>
      <c r="F485" t="s">
        <v>720</v>
      </c>
    </row>
    <row r="486" spans="1:6" x14ac:dyDescent="0.25">
      <c r="A486" t="s">
        <v>217</v>
      </c>
      <c r="C486" t="s">
        <v>3056</v>
      </c>
      <c r="F486" t="s">
        <v>721</v>
      </c>
    </row>
    <row r="487" spans="1:6" x14ac:dyDescent="0.25">
      <c r="A487" t="s">
        <v>3793</v>
      </c>
      <c r="C487" t="s">
        <v>3057</v>
      </c>
      <c r="F487" t="s">
        <v>722</v>
      </c>
    </row>
    <row r="488" spans="1:6" x14ac:dyDescent="0.25">
      <c r="A488" t="s">
        <v>3794</v>
      </c>
      <c r="C488" t="s">
        <v>961</v>
      </c>
      <c r="F488" t="s">
        <v>723</v>
      </c>
    </row>
    <row r="489" spans="1:6" x14ac:dyDescent="0.25">
      <c r="A489" t="s">
        <v>3795</v>
      </c>
      <c r="C489" t="s">
        <v>3058</v>
      </c>
      <c r="F489" t="s">
        <v>724</v>
      </c>
    </row>
    <row r="490" spans="1:6" x14ac:dyDescent="0.25">
      <c r="A490" t="s">
        <v>3796</v>
      </c>
      <c r="C490" t="s">
        <v>3059</v>
      </c>
      <c r="F490" t="s">
        <v>725</v>
      </c>
    </row>
    <row r="491" spans="1:6" x14ac:dyDescent="0.25">
      <c r="A491" t="s">
        <v>3797</v>
      </c>
      <c r="C491" t="s">
        <v>3060</v>
      </c>
      <c r="F491" t="s">
        <v>726</v>
      </c>
    </row>
    <row r="492" spans="1:6" x14ac:dyDescent="0.25">
      <c r="A492" t="s">
        <v>3798</v>
      </c>
      <c r="C492" t="s">
        <v>3061</v>
      </c>
      <c r="F492" t="s">
        <v>727</v>
      </c>
    </row>
    <row r="493" spans="1:6" x14ac:dyDescent="0.25">
      <c r="A493" t="s">
        <v>3799</v>
      </c>
      <c r="C493" t="s">
        <v>3062</v>
      </c>
      <c r="F493" t="s">
        <v>728</v>
      </c>
    </row>
    <row r="494" spans="1:6" x14ac:dyDescent="0.25">
      <c r="A494" t="s">
        <v>3800</v>
      </c>
      <c r="C494" t="s">
        <v>3063</v>
      </c>
      <c r="F494" t="s">
        <v>729</v>
      </c>
    </row>
    <row r="495" spans="1:6" x14ac:dyDescent="0.25">
      <c r="A495" t="s">
        <v>3801</v>
      </c>
      <c r="C495" t="s">
        <v>982</v>
      </c>
      <c r="F495" t="s">
        <v>730</v>
      </c>
    </row>
    <row r="496" spans="1:6" x14ac:dyDescent="0.25">
      <c r="A496" t="s">
        <v>3802</v>
      </c>
      <c r="C496" t="s">
        <v>3064</v>
      </c>
      <c r="F496" t="s">
        <v>731</v>
      </c>
    </row>
    <row r="497" spans="1:6" x14ac:dyDescent="0.25">
      <c r="A497" t="s">
        <v>3803</v>
      </c>
      <c r="C497" t="s">
        <v>3065</v>
      </c>
      <c r="F497" t="s">
        <v>732</v>
      </c>
    </row>
    <row r="498" spans="1:6" x14ac:dyDescent="0.25">
      <c r="A498" t="s">
        <v>3804</v>
      </c>
      <c r="C498" t="s">
        <v>3066</v>
      </c>
      <c r="F498" t="s">
        <v>733</v>
      </c>
    </row>
    <row r="499" spans="1:6" x14ac:dyDescent="0.25">
      <c r="A499" t="s">
        <v>3805</v>
      </c>
      <c r="C499" t="s">
        <v>3067</v>
      </c>
      <c r="F499" t="s">
        <v>734</v>
      </c>
    </row>
    <row r="500" spans="1:6" x14ac:dyDescent="0.25">
      <c r="A500" t="s">
        <v>598</v>
      </c>
      <c r="C500" t="s">
        <v>3068</v>
      </c>
      <c r="F500" t="s">
        <v>735</v>
      </c>
    </row>
    <row r="501" spans="1:6" x14ac:dyDescent="0.25">
      <c r="A501" t="s">
        <v>3806</v>
      </c>
      <c r="C501" t="s">
        <v>3069</v>
      </c>
      <c r="F501" t="s">
        <v>736</v>
      </c>
    </row>
    <row r="502" spans="1:6" x14ac:dyDescent="0.25">
      <c r="A502" t="s">
        <v>3807</v>
      </c>
      <c r="C502" t="s">
        <v>3070</v>
      </c>
      <c r="F502" t="s">
        <v>737</v>
      </c>
    </row>
    <row r="503" spans="1:6" x14ac:dyDescent="0.25">
      <c r="A503" t="s">
        <v>3808</v>
      </c>
      <c r="C503" t="s">
        <v>3071</v>
      </c>
      <c r="F503" t="s">
        <v>738</v>
      </c>
    </row>
    <row r="504" spans="1:6" x14ac:dyDescent="0.25">
      <c r="A504" t="s">
        <v>3809</v>
      </c>
      <c r="C504" t="s">
        <v>3072</v>
      </c>
      <c r="F504" t="s">
        <v>200</v>
      </c>
    </row>
    <row r="505" spans="1:6" x14ac:dyDescent="0.25">
      <c r="A505" t="s">
        <v>2609</v>
      </c>
      <c r="C505" t="s">
        <v>3073</v>
      </c>
      <c r="F505" t="s">
        <v>739</v>
      </c>
    </row>
    <row r="506" spans="1:6" x14ac:dyDescent="0.25">
      <c r="A506" t="s">
        <v>3810</v>
      </c>
      <c r="C506" t="s">
        <v>3074</v>
      </c>
      <c r="F506" t="s">
        <v>740</v>
      </c>
    </row>
    <row r="507" spans="1:6" x14ac:dyDescent="0.25">
      <c r="A507" t="s">
        <v>229</v>
      </c>
      <c r="C507" t="s">
        <v>3075</v>
      </c>
      <c r="F507" t="s">
        <v>741</v>
      </c>
    </row>
    <row r="508" spans="1:6" x14ac:dyDescent="0.25">
      <c r="A508" t="s">
        <v>41</v>
      </c>
      <c r="C508" t="s">
        <v>3076</v>
      </c>
      <c r="F508" t="s">
        <v>742</v>
      </c>
    </row>
    <row r="509" spans="1:6" x14ac:dyDescent="0.25">
      <c r="A509" t="s">
        <v>3811</v>
      </c>
      <c r="C509" t="s">
        <v>3077</v>
      </c>
      <c r="F509" t="s">
        <v>743</v>
      </c>
    </row>
    <row r="510" spans="1:6" x14ac:dyDescent="0.25">
      <c r="A510" t="s">
        <v>3812</v>
      </c>
      <c r="C510" t="s">
        <v>3078</v>
      </c>
      <c r="F510" t="s">
        <v>744</v>
      </c>
    </row>
    <row r="511" spans="1:6" x14ac:dyDescent="0.25">
      <c r="A511" t="s">
        <v>1774</v>
      </c>
      <c r="C511" t="s">
        <v>3079</v>
      </c>
      <c r="F511" t="s">
        <v>745</v>
      </c>
    </row>
    <row r="512" spans="1:6" x14ac:dyDescent="0.25">
      <c r="A512" t="s">
        <v>3813</v>
      </c>
      <c r="C512" t="s">
        <v>3080</v>
      </c>
      <c r="F512" t="s">
        <v>746</v>
      </c>
    </row>
    <row r="513" spans="1:6" x14ac:dyDescent="0.25">
      <c r="A513" t="s">
        <v>3814</v>
      </c>
      <c r="C513" t="s">
        <v>3081</v>
      </c>
      <c r="F513" t="s">
        <v>747</v>
      </c>
    </row>
    <row r="514" spans="1:6" x14ac:dyDescent="0.25">
      <c r="A514" t="s">
        <v>3815</v>
      </c>
      <c r="C514" t="s">
        <v>3082</v>
      </c>
      <c r="F514" t="s">
        <v>748</v>
      </c>
    </row>
    <row r="515" spans="1:6" x14ac:dyDescent="0.25">
      <c r="A515" t="s">
        <v>2474</v>
      </c>
      <c r="C515" t="s">
        <v>3083</v>
      </c>
      <c r="F515" t="s">
        <v>749</v>
      </c>
    </row>
    <row r="516" spans="1:6" x14ac:dyDescent="0.25">
      <c r="A516" t="s">
        <v>3816</v>
      </c>
      <c r="C516" t="s">
        <v>3084</v>
      </c>
      <c r="F516" t="s">
        <v>750</v>
      </c>
    </row>
    <row r="517" spans="1:6" x14ac:dyDescent="0.25">
      <c r="A517" t="s">
        <v>1312</v>
      </c>
      <c r="C517" t="s">
        <v>3085</v>
      </c>
      <c r="F517" t="s">
        <v>751</v>
      </c>
    </row>
    <row r="518" spans="1:6" x14ac:dyDescent="0.25">
      <c r="A518" t="s">
        <v>3817</v>
      </c>
      <c r="C518" t="s">
        <v>226</v>
      </c>
      <c r="F518" t="s">
        <v>752</v>
      </c>
    </row>
    <row r="519" spans="1:6" x14ac:dyDescent="0.25">
      <c r="A519" t="s">
        <v>3818</v>
      </c>
      <c r="C519" t="s">
        <v>3086</v>
      </c>
      <c r="F519" t="s">
        <v>753</v>
      </c>
    </row>
    <row r="520" spans="1:6" x14ac:dyDescent="0.25">
      <c r="A520" t="s">
        <v>2830</v>
      </c>
      <c r="C520" t="s">
        <v>3087</v>
      </c>
      <c r="F520" t="s">
        <v>754</v>
      </c>
    </row>
    <row r="521" spans="1:6" x14ac:dyDescent="0.25">
      <c r="A521" t="s">
        <v>3819</v>
      </c>
      <c r="C521" t="s">
        <v>3088</v>
      </c>
      <c r="F521" t="s">
        <v>755</v>
      </c>
    </row>
    <row r="522" spans="1:6" x14ac:dyDescent="0.25">
      <c r="A522" t="s">
        <v>3820</v>
      </c>
      <c r="C522" t="s">
        <v>3089</v>
      </c>
      <c r="F522" t="s">
        <v>756</v>
      </c>
    </row>
    <row r="523" spans="1:6" x14ac:dyDescent="0.25">
      <c r="A523" t="s">
        <v>3821</v>
      </c>
      <c r="C523" t="s">
        <v>3090</v>
      </c>
      <c r="F523" t="s">
        <v>757</v>
      </c>
    </row>
    <row r="524" spans="1:6" x14ac:dyDescent="0.25">
      <c r="A524" t="s">
        <v>3822</v>
      </c>
      <c r="C524" t="s">
        <v>3091</v>
      </c>
      <c r="F524" t="s">
        <v>758</v>
      </c>
    </row>
    <row r="525" spans="1:6" x14ac:dyDescent="0.25">
      <c r="A525" t="s">
        <v>3823</v>
      </c>
      <c r="C525" t="s">
        <v>3092</v>
      </c>
      <c r="F525" t="s">
        <v>759</v>
      </c>
    </row>
    <row r="526" spans="1:6" x14ac:dyDescent="0.25">
      <c r="A526" t="s">
        <v>1139</v>
      </c>
      <c r="C526" t="s">
        <v>3093</v>
      </c>
      <c r="F526" t="s">
        <v>760</v>
      </c>
    </row>
    <row r="527" spans="1:6" x14ac:dyDescent="0.25">
      <c r="A527" t="s">
        <v>2521</v>
      </c>
      <c r="C527" t="s">
        <v>3094</v>
      </c>
      <c r="F527" t="s">
        <v>761</v>
      </c>
    </row>
    <row r="528" spans="1:6" x14ac:dyDescent="0.25">
      <c r="A528" t="s">
        <v>3824</v>
      </c>
      <c r="C528" t="s">
        <v>3095</v>
      </c>
      <c r="F528" t="s">
        <v>762</v>
      </c>
    </row>
    <row r="529" spans="1:6" x14ac:dyDescent="0.25">
      <c r="A529" t="s">
        <v>3825</v>
      </c>
      <c r="C529" t="s">
        <v>3096</v>
      </c>
      <c r="F529" t="s">
        <v>208</v>
      </c>
    </row>
    <row r="530" spans="1:6" x14ac:dyDescent="0.25">
      <c r="A530" t="s">
        <v>287</v>
      </c>
      <c r="C530" t="s">
        <v>3097</v>
      </c>
      <c r="F530" t="s">
        <v>763</v>
      </c>
    </row>
    <row r="531" spans="1:6" x14ac:dyDescent="0.25">
      <c r="A531" t="s">
        <v>132</v>
      </c>
      <c r="C531" t="s">
        <v>3098</v>
      </c>
      <c r="F531" t="s">
        <v>764</v>
      </c>
    </row>
    <row r="532" spans="1:6" x14ac:dyDescent="0.25">
      <c r="A532" t="s">
        <v>77</v>
      </c>
      <c r="C532" t="s">
        <v>3099</v>
      </c>
      <c r="F532" t="s">
        <v>765</v>
      </c>
    </row>
    <row r="533" spans="1:6" x14ac:dyDescent="0.25">
      <c r="A533" t="s">
        <v>3826</v>
      </c>
      <c r="C533" t="s">
        <v>3100</v>
      </c>
      <c r="F533" t="s">
        <v>766</v>
      </c>
    </row>
    <row r="534" spans="1:6" x14ac:dyDescent="0.25">
      <c r="A534" t="s">
        <v>101</v>
      </c>
      <c r="C534" t="s">
        <v>3101</v>
      </c>
      <c r="F534" t="s">
        <v>767</v>
      </c>
    </row>
    <row r="535" spans="1:6" x14ac:dyDescent="0.25">
      <c r="A535" t="s">
        <v>3827</v>
      </c>
      <c r="C535" t="s">
        <v>3102</v>
      </c>
      <c r="F535" t="s">
        <v>768</v>
      </c>
    </row>
    <row r="536" spans="1:6" x14ac:dyDescent="0.25">
      <c r="A536" t="s">
        <v>2352</v>
      </c>
      <c r="C536" t="s">
        <v>3103</v>
      </c>
      <c r="F536" t="s">
        <v>769</v>
      </c>
    </row>
    <row r="537" spans="1:6" x14ac:dyDescent="0.25">
      <c r="A537" t="s">
        <v>36</v>
      </c>
      <c r="C537" t="s">
        <v>3104</v>
      </c>
      <c r="F537" t="s">
        <v>770</v>
      </c>
    </row>
    <row r="538" spans="1:6" x14ac:dyDescent="0.25">
      <c r="A538" t="s">
        <v>1187</v>
      </c>
      <c r="C538" t="s">
        <v>3105</v>
      </c>
      <c r="F538" t="s">
        <v>771</v>
      </c>
    </row>
    <row r="539" spans="1:6" x14ac:dyDescent="0.25">
      <c r="A539" t="s">
        <v>3828</v>
      </c>
      <c r="C539" t="s">
        <v>3106</v>
      </c>
      <c r="F539" t="s">
        <v>772</v>
      </c>
    </row>
    <row r="540" spans="1:6" x14ac:dyDescent="0.25">
      <c r="A540" t="s">
        <v>3829</v>
      </c>
      <c r="C540" t="s">
        <v>3107</v>
      </c>
      <c r="F540" t="s">
        <v>773</v>
      </c>
    </row>
    <row r="541" spans="1:6" x14ac:dyDescent="0.25">
      <c r="A541" t="s">
        <v>574</v>
      </c>
      <c r="C541" t="s">
        <v>3108</v>
      </c>
      <c r="F541" t="s">
        <v>774</v>
      </c>
    </row>
    <row r="542" spans="1:6" x14ac:dyDescent="0.25">
      <c r="A542" t="s">
        <v>3830</v>
      </c>
      <c r="C542" t="s">
        <v>3109</v>
      </c>
      <c r="F542" t="s">
        <v>775</v>
      </c>
    </row>
    <row r="543" spans="1:6" x14ac:dyDescent="0.25">
      <c r="A543" t="s">
        <v>3831</v>
      </c>
      <c r="C543" t="s">
        <v>3110</v>
      </c>
      <c r="F543" t="s">
        <v>776</v>
      </c>
    </row>
    <row r="544" spans="1:6" x14ac:dyDescent="0.25">
      <c r="A544" t="s">
        <v>3832</v>
      </c>
      <c r="C544" t="s">
        <v>3111</v>
      </c>
      <c r="F544" t="s">
        <v>777</v>
      </c>
    </row>
    <row r="545" spans="1:6" x14ac:dyDescent="0.25">
      <c r="A545" t="s">
        <v>96</v>
      </c>
      <c r="C545" t="s">
        <v>3112</v>
      </c>
      <c r="F545" t="s">
        <v>778</v>
      </c>
    </row>
    <row r="546" spans="1:6" x14ac:dyDescent="0.25">
      <c r="A546" t="s">
        <v>269</v>
      </c>
      <c r="C546" t="s">
        <v>3113</v>
      </c>
      <c r="F546" t="s">
        <v>779</v>
      </c>
    </row>
    <row r="547" spans="1:6" x14ac:dyDescent="0.25">
      <c r="A547" t="s">
        <v>3833</v>
      </c>
      <c r="C547" t="s">
        <v>3114</v>
      </c>
      <c r="F547" t="s">
        <v>780</v>
      </c>
    </row>
    <row r="548" spans="1:6" x14ac:dyDescent="0.25">
      <c r="A548" t="s">
        <v>3834</v>
      </c>
      <c r="C548" t="s">
        <v>3115</v>
      </c>
      <c r="F548" t="s">
        <v>781</v>
      </c>
    </row>
    <row r="549" spans="1:6" x14ac:dyDescent="0.25">
      <c r="A549" t="s">
        <v>3835</v>
      </c>
      <c r="C549" t="s">
        <v>1009</v>
      </c>
      <c r="F549" t="s">
        <v>782</v>
      </c>
    </row>
    <row r="550" spans="1:6" x14ac:dyDescent="0.25">
      <c r="A550" t="s">
        <v>172</v>
      </c>
      <c r="C550" t="s">
        <v>3116</v>
      </c>
      <c r="F550" t="s">
        <v>783</v>
      </c>
    </row>
    <row r="551" spans="1:6" x14ac:dyDescent="0.25">
      <c r="A551" t="s">
        <v>3836</v>
      </c>
      <c r="C551" t="s">
        <v>3117</v>
      </c>
      <c r="F551" t="s">
        <v>784</v>
      </c>
    </row>
    <row r="552" spans="1:6" x14ac:dyDescent="0.25">
      <c r="A552" t="s">
        <v>1318</v>
      </c>
      <c r="C552" t="s">
        <v>3118</v>
      </c>
      <c r="F552" t="s">
        <v>785</v>
      </c>
    </row>
    <row r="553" spans="1:6" x14ac:dyDescent="0.25">
      <c r="A553" t="s">
        <v>3837</v>
      </c>
      <c r="C553" t="s">
        <v>3119</v>
      </c>
      <c r="F553" t="s">
        <v>786</v>
      </c>
    </row>
    <row r="554" spans="1:6" x14ac:dyDescent="0.25">
      <c r="A554" t="s">
        <v>1805</v>
      </c>
      <c r="C554" t="s">
        <v>3120</v>
      </c>
      <c r="F554" t="s">
        <v>787</v>
      </c>
    </row>
    <row r="555" spans="1:6" x14ac:dyDescent="0.25">
      <c r="A555" t="s">
        <v>196</v>
      </c>
      <c r="C555" t="s">
        <v>3121</v>
      </c>
      <c r="F555" t="s">
        <v>788</v>
      </c>
    </row>
    <row r="556" spans="1:6" x14ac:dyDescent="0.25">
      <c r="A556" t="s">
        <v>147</v>
      </c>
      <c r="C556" t="s">
        <v>3122</v>
      </c>
      <c r="F556" t="s">
        <v>789</v>
      </c>
    </row>
    <row r="557" spans="1:6" x14ac:dyDescent="0.25">
      <c r="A557" t="s">
        <v>1941</v>
      </c>
      <c r="C557" t="s">
        <v>697</v>
      </c>
      <c r="F557" t="s">
        <v>790</v>
      </c>
    </row>
    <row r="558" spans="1:6" x14ac:dyDescent="0.25">
      <c r="A558" t="s">
        <v>3838</v>
      </c>
      <c r="C558" t="s">
        <v>3123</v>
      </c>
      <c r="F558" t="s">
        <v>791</v>
      </c>
    </row>
    <row r="559" spans="1:6" x14ac:dyDescent="0.25">
      <c r="A559" t="s">
        <v>3839</v>
      </c>
      <c r="C559" t="s">
        <v>3124</v>
      </c>
      <c r="F559" t="s">
        <v>792</v>
      </c>
    </row>
    <row r="560" spans="1:6" x14ac:dyDescent="0.25">
      <c r="A560" t="s">
        <v>3840</v>
      </c>
      <c r="C560" t="s">
        <v>3125</v>
      </c>
      <c r="F560" t="s">
        <v>793</v>
      </c>
    </row>
    <row r="561" spans="1:6" x14ac:dyDescent="0.25">
      <c r="A561" t="s">
        <v>1376</v>
      </c>
      <c r="C561" t="s">
        <v>3126</v>
      </c>
      <c r="F561" t="s">
        <v>794</v>
      </c>
    </row>
    <row r="562" spans="1:6" x14ac:dyDescent="0.25">
      <c r="A562" t="s">
        <v>120</v>
      </c>
      <c r="C562" t="s">
        <v>3127</v>
      </c>
      <c r="F562" t="s">
        <v>795</v>
      </c>
    </row>
    <row r="563" spans="1:6" x14ac:dyDescent="0.25">
      <c r="A563" t="s">
        <v>3841</v>
      </c>
      <c r="C563" t="s">
        <v>3128</v>
      </c>
      <c r="F563" t="s">
        <v>796</v>
      </c>
    </row>
    <row r="564" spans="1:6" x14ac:dyDescent="0.25">
      <c r="A564" t="s">
        <v>3842</v>
      </c>
      <c r="C564" t="s">
        <v>3129</v>
      </c>
      <c r="F564" t="s">
        <v>797</v>
      </c>
    </row>
    <row r="565" spans="1:6" x14ac:dyDescent="0.25">
      <c r="A565" t="s">
        <v>1255</v>
      </c>
      <c r="C565" t="s">
        <v>3130</v>
      </c>
      <c r="F565" t="s">
        <v>798</v>
      </c>
    </row>
    <row r="566" spans="1:6" x14ac:dyDescent="0.25">
      <c r="A566" t="s">
        <v>3843</v>
      </c>
      <c r="C566" t="s">
        <v>3131</v>
      </c>
      <c r="F566" t="s">
        <v>799</v>
      </c>
    </row>
    <row r="567" spans="1:6" x14ac:dyDescent="0.25">
      <c r="A567" t="s">
        <v>2116</v>
      </c>
      <c r="C567" t="s">
        <v>3132</v>
      </c>
      <c r="F567" t="s">
        <v>800</v>
      </c>
    </row>
    <row r="568" spans="1:6" x14ac:dyDescent="0.25">
      <c r="A568" t="s">
        <v>3844</v>
      </c>
      <c r="C568" t="s">
        <v>3133</v>
      </c>
      <c r="F568" t="s">
        <v>801</v>
      </c>
    </row>
    <row r="569" spans="1:6" x14ac:dyDescent="0.25">
      <c r="A569" t="s">
        <v>3845</v>
      </c>
      <c r="C569" t="s">
        <v>3134</v>
      </c>
      <c r="F569" t="s">
        <v>802</v>
      </c>
    </row>
    <row r="570" spans="1:6" x14ac:dyDescent="0.25">
      <c r="A570" t="s">
        <v>89</v>
      </c>
      <c r="C570" t="s">
        <v>3135</v>
      </c>
      <c r="F570" t="s">
        <v>803</v>
      </c>
    </row>
    <row r="571" spans="1:6" x14ac:dyDescent="0.25">
      <c r="A571" t="s">
        <v>3846</v>
      </c>
      <c r="C571" t="s">
        <v>3136</v>
      </c>
      <c r="F571" t="s">
        <v>804</v>
      </c>
    </row>
    <row r="572" spans="1:6" x14ac:dyDescent="0.25">
      <c r="A572" t="s">
        <v>33</v>
      </c>
      <c r="C572" t="s">
        <v>3137</v>
      </c>
      <c r="F572" t="s">
        <v>805</v>
      </c>
    </row>
    <row r="573" spans="1:6" x14ac:dyDescent="0.25">
      <c r="A573" t="s">
        <v>3847</v>
      </c>
      <c r="C573" t="s">
        <v>3138</v>
      </c>
      <c r="F573" t="s">
        <v>806</v>
      </c>
    </row>
    <row r="574" spans="1:6" x14ac:dyDescent="0.25">
      <c r="A574" t="s">
        <v>3848</v>
      </c>
      <c r="C574" t="s">
        <v>3139</v>
      </c>
      <c r="F574" t="s">
        <v>807</v>
      </c>
    </row>
    <row r="575" spans="1:6" x14ac:dyDescent="0.25">
      <c r="A575" t="s">
        <v>3849</v>
      </c>
      <c r="C575" t="s">
        <v>3140</v>
      </c>
      <c r="F575" t="s">
        <v>808</v>
      </c>
    </row>
    <row r="576" spans="1:6" x14ac:dyDescent="0.25">
      <c r="A576" t="s">
        <v>3850</v>
      </c>
      <c r="C576" t="s">
        <v>3141</v>
      </c>
      <c r="F576" t="s">
        <v>809</v>
      </c>
    </row>
    <row r="577" spans="1:6" x14ac:dyDescent="0.25">
      <c r="A577" t="s">
        <v>3851</v>
      </c>
      <c r="C577" t="s">
        <v>3142</v>
      </c>
      <c r="F577" t="s">
        <v>810</v>
      </c>
    </row>
    <row r="578" spans="1:6" x14ac:dyDescent="0.25">
      <c r="A578" t="s">
        <v>1692</v>
      </c>
      <c r="C578" t="s">
        <v>868</v>
      </c>
      <c r="F578" t="s">
        <v>811</v>
      </c>
    </row>
    <row r="579" spans="1:6" x14ac:dyDescent="0.25">
      <c r="A579" t="s">
        <v>3852</v>
      </c>
      <c r="C579" t="s">
        <v>3143</v>
      </c>
      <c r="F579" t="s">
        <v>812</v>
      </c>
    </row>
    <row r="580" spans="1:6" x14ac:dyDescent="0.25">
      <c r="A580" t="s">
        <v>3853</v>
      </c>
      <c r="C580" t="s">
        <v>3144</v>
      </c>
      <c r="F580" t="s">
        <v>813</v>
      </c>
    </row>
    <row r="581" spans="1:6" x14ac:dyDescent="0.25">
      <c r="A581" t="s">
        <v>3854</v>
      </c>
      <c r="C581" t="s">
        <v>3145</v>
      </c>
      <c r="F581" t="s">
        <v>814</v>
      </c>
    </row>
    <row r="582" spans="1:6" x14ac:dyDescent="0.25">
      <c r="A582" t="s">
        <v>3855</v>
      </c>
      <c r="C582" t="s">
        <v>3146</v>
      </c>
      <c r="F582" t="s">
        <v>815</v>
      </c>
    </row>
    <row r="583" spans="1:6" x14ac:dyDescent="0.25">
      <c r="A583" t="s">
        <v>3856</v>
      </c>
      <c r="C583" t="s">
        <v>3147</v>
      </c>
      <c r="F583" t="s">
        <v>816</v>
      </c>
    </row>
    <row r="584" spans="1:6" x14ac:dyDescent="0.25">
      <c r="A584" t="s">
        <v>1511</v>
      </c>
      <c r="C584" t="s">
        <v>3148</v>
      </c>
      <c r="F584" t="s">
        <v>817</v>
      </c>
    </row>
    <row r="585" spans="1:6" x14ac:dyDescent="0.25">
      <c r="A585" t="s">
        <v>3857</v>
      </c>
      <c r="C585" t="s">
        <v>3149</v>
      </c>
      <c r="F585" t="s">
        <v>818</v>
      </c>
    </row>
    <row r="586" spans="1:6" x14ac:dyDescent="0.25">
      <c r="A586" t="s">
        <v>3858</v>
      </c>
      <c r="C586" t="s">
        <v>3150</v>
      </c>
      <c r="F586" t="s">
        <v>819</v>
      </c>
    </row>
    <row r="587" spans="1:6" x14ac:dyDescent="0.25">
      <c r="A587" t="s">
        <v>3859</v>
      </c>
      <c r="C587" t="s">
        <v>3151</v>
      </c>
      <c r="F587" t="s">
        <v>820</v>
      </c>
    </row>
    <row r="588" spans="1:6" x14ac:dyDescent="0.25">
      <c r="A588" t="s">
        <v>305</v>
      </c>
      <c r="C588" t="s">
        <v>3152</v>
      </c>
      <c r="F588" t="s">
        <v>821</v>
      </c>
    </row>
    <row r="589" spans="1:6" x14ac:dyDescent="0.25">
      <c r="A589" t="s">
        <v>3860</v>
      </c>
      <c r="C589" t="s">
        <v>3153</v>
      </c>
      <c r="F589" t="s">
        <v>822</v>
      </c>
    </row>
    <row r="590" spans="1:6" x14ac:dyDescent="0.25">
      <c r="A590" t="s">
        <v>3861</v>
      </c>
      <c r="C590" t="s">
        <v>3154</v>
      </c>
      <c r="F590" t="s">
        <v>823</v>
      </c>
    </row>
    <row r="591" spans="1:6" x14ac:dyDescent="0.25">
      <c r="A591" t="s">
        <v>108</v>
      </c>
      <c r="C591" t="s">
        <v>3155</v>
      </c>
      <c r="F591" t="s">
        <v>824</v>
      </c>
    </row>
    <row r="592" spans="1:6" x14ac:dyDescent="0.25">
      <c r="A592" t="s">
        <v>2206</v>
      </c>
      <c r="C592" t="s">
        <v>3156</v>
      </c>
      <c r="F592" t="s">
        <v>825</v>
      </c>
    </row>
    <row r="593" spans="1:6" x14ac:dyDescent="0.25">
      <c r="A593" t="s">
        <v>3862</v>
      </c>
      <c r="C593" t="s">
        <v>3157</v>
      </c>
      <c r="F593" t="s">
        <v>826</v>
      </c>
    </row>
    <row r="594" spans="1:6" x14ac:dyDescent="0.25">
      <c r="A594" t="s">
        <v>1654</v>
      </c>
      <c r="C594" t="s">
        <v>3158</v>
      </c>
      <c r="F594" t="s">
        <v>827</v>
      </c>
    </row>
    <row r="595" spans="1:6" x14ac:dyDescent="0.25">
      <c r="A595" t="s">
        <v>3863</v>
      </c>
      <c r="C595" t="s">
        <v>3159</v>
      </c>
      <c r="F595" t="s">
        <v>828</v>
      </c>
    </row>
    <row r="596" spans="1:6" x14ac:dyDescent="0.25">
      <c r="A596" t="s">
        <v>3864</v>
      </c>
      <c r="C596" t="s">
        <v>3160</v>
      </c>
      <c r="F596" t="s">
        <v>829</v>
      </c>
    </row>
    <row r="597" spans="1:6" x14ac:dyDescent="0.25">
      <c r="A597" t="s">
        <v>3865</v>
      </c>
      <c r="C597" t="s">
        <v>3161</v>
      </c>
      <c r="F597" t="s">
        <v>830</v>
      </c>
    </row>
    <row r="598" spans="1:6" x14ac:dyDescent="0.25">
      <c r="A598" t="s">
        <v>3866</v>
      </c>
      <c r="C598" t="s">
        <v>3162</v>
      </c>
      <c r="F598" t="s">
        <v>237</v>
      </c>
    </row>
    <row r="599" spans="1:6" x14ac:dyDescent="0.25">
      <c r="A599" t="s">
        <v>1565</v>
      </c>
      <c r="C599" t="s">
        <v>3163</v>
      </c>
      <c r="F599" t="s">
        <v>831</v>
      </c>
    </row>
    <row r="600" spans="1:6" x14ac:dyDescent="0.25">
      <c r="A600" t="s">
        <v>3867</v>
      </c>
      <c r="C600" t="s">
        <v>1114</v>
      </c>
      <c r="F600" t="s">
        <v>832</v>
      </c>
    </row>
    <row r="601" spans="1:6" x14ac:dyDescent="0.25">
      <c r="A601" t="s">
        <v>232</v>
      </c>
      <c r="C601" t="s">
        <v>3164</v>
      </c>
      <c r="F601" t="s">
        <v>833</v>
      </c>
    </row>
    <row r="602" spans="1:6" x14ac:dyDescent="0.25">
      <c r="A602" t="s">
        <v>2744</v>
      </c>
      <c r="C602" t="s">
        <v>3165</v>
      </c>
      <c r="F602" t="s">
        <v>834</v>
      </c>
    </row>
    <row r="603" spans="1:6" x14ac:dyDescent="0.25">
      <c r="A603" t="s">
        <v>3868</v>
      </c>
      <c r="C603" t="s">
        <v>3166</v>
      </c>
      <c r="F603" t="s">
        <v>835</v>
      </c>
    </row>
    <row r="604" spans="1:6" x14ac:dyDescent="0.25">
      <c r="A604" t="s">
        <v>3869</v>
      </c>
      <c r="C604" t="s">
        <v>3167</v>
      </c>
      <c r="F604" t="s">
        <v>836</v>
      </c>
    </row>
    <row r="605" spans="1:6" x14ac:dyDescent="0.25">
      <c r="A605" t="s">
        <v>112</v>
      </c>
      <c r="C605" t="s">
        <v>1553</v>
      </c>
      <c r="F605" t="s">
        <v>837</v>
      </c>
    </row>
    <row r="606" spans="1:6" x14ac:dyDescent="0.25">
      <c r="A606" t="s">
        <v>3870</v>
      </c>
      <c r="C606" t="s">
        <v>3168</v>
      </c>
      <c r="F606" t="s">
        <v>838</v>
      </c>
    </row>
    <row r="607" spans="1:6" x14ac:dyDescent="0.25">
      <c r="A607" t="s">
        <v>3871</v>
      </c>
      <c r="C607" t="s">
        <v>3169</v>
      </c>
      <c r="F607" t="s">
        <v>839</v>
      </c>
    </row>
    <row r="608" spans="1:6" x14ac:dyDescent="0.25">
      <c r="A608" t="s">
        <v>3872</v>
      </c>
      <c r="C608" t="s">
        <v>3170</v>
      </c>
      <c r="F608" t="s">
        <v>840</v>
      </c>
    </row>
    <row r="609" spans="1:6" x14ac:dyDescent="0.25">
      <c r="A609" t="s">
        <v>3873</v>
      </c>
      <c r="C609" t="s">
        <v>3171</v>
      </c>
      <c r="F609" t="s">
        <v>841</v>
      </c>
    </row>
    <row r="610" spans="1:6" x14ac:dyDescent="0.25">
      <c r="A610" t="s">
        <v>904</v>
      </c>
      <c r="C610" t="s">
        <v>3172</v>
      </c>
      <c r="F610" t="s">
        <v>842</v>
      </c>
    </row>
    <row r="611" spans="1:6" x14ac:dyDescent="0.25">
      <c r="A611" t="s">
        <v>227</v>
      </c>
      <c r="C611" t="s">
        <v>3173</v>
      </c>
      <c r="F611" t="s">
        <v>843</v>
      </c>
    </row>
    <row r="612" spans="1:6" x14ac:dyDescent="0.25">
      <c r="A612" t="s">
        <v>2812</v>
      </c>
      <c r="C612" t="s">
        <v>3174</v>
      </c>
      <c r="F612" t="s">
        <v>844</v>
      </c>
    </row>
    <row r="613" spans="1:6" x14ac:dyDescent="0.25">
      <c r="A613" t="s">
        <v>2100</v>
      </c>
      <c r="C613" t="s">
        <v>3175</v>
      </c>
      <c r="F613" t="s">
        <v>845</v>
      </c>
    </row>
    <row r="614" spans="1:6" x14ac:dyDescent="0.25">
      <c r="A614" t="s">
        <v>3874</v>
      </c>
      <c r="C614" t="s">
        <v>3176</v>
      </c>
      <c r="F614" t="s">
        <v>846</v>
      </c>
    </row>
    <row r="615" spans="1:6" x14ac:dyDescent="0.25">
      <c r="A615" t="s">
        <v>3875</v>
      </c>
      <c r="C615" t="s">
        <v>3177</v>
      </c>
      <c r="F615" t="s">
        <v>847</v>
      </c>
    </row>
    <row r="616" spans="1:6" x14ac:dyDescent="0.25">
      <c r="A616" t="s">
        <v>1189</v>
      </c>
      <c r="C616" t="s">
        <v>3178</v>
      </c>
      <c r="F616" t="s">
        <v>848</v>
      </c>
    </row>
    <row r="617" spans="1:6" x14ac:dyDescent="0.25">
      <c r="A617" t="s">
        <v>3876</v>
      </c>
      <c r="C617" t="s">
        <v>3179</v>
      </c>
      <c r="F617" t="s">
        <v>849</v>
      </c>
    </row>
    <row r="618" spans="1:6" x14ac:dyDescent="0.25">
      <c r="A618" t="s">
        <v>3877</v>
      </c>
      <c r="C618" t="s">
        <v>3180</v>
      </c>
      <c r="F618" t="s">
        <v>850</v>
      </c>
    </row>
    <row r="619" spans="1:6" x14ac:dyDescent="0.25">
      <c r="A619" t="s">
        <v>3878</v>
      </c>
      <c r="C619" t="s">
        <v>3181</v>
      </c>
      <c r="F619" t="s">
        <v>75</v>
      </c>
    </row>
    <row r="620" spans="1:6" x14ac:dyDescent="0.25">
      <c r="A620" t="s">
        <v>141</v>
      </c>
      <c r="C620" t="s">
        <v>3182</v>
      </c>
      <c r="F620" t="s">
        <v>851</v>
      </c>
    </row>
    <row r="621" spans="1:6" x14ac:dyDescent="0.25">
      <c r="A621" t="s">
        <v>2071</v>
      </c>
      <c r="C621" t="s">
        <v>3183</v>
      </c>
      <c r="F621" t="s">
        <v>852</v>
      </c>
    </row>
    <row r="622" spans="1:6" x14ac:dyDescent="0.25">
      <c r="A622" t="s">
        <v>3879</v>
      </c>
      <c r="C622" t="s">
        <v>3184</v>
      </c>
      <c r="F622" t="s">
        <v>853</v>
      </c>
    </row>
    <row r="623" spans="1:6" x14ac:dyDescent="0.25">
      <c r="A623" t="s">
        <v>3880</v>
      </c>
      <c r="C623" t="s">
        <v>3185</v>
      </c>
      <c r="F623" t="s">
        <v>854</v>
      </c>
    </row>
    <row r="624" spans="1:6" x14ac:dyDescent="0.25">
      <c r="A624" t="s">
        <v>3881</v>
      </c>
      <c r="C624" t="s">
        <v>3186</v>
      </c>
      <c r="F624" t="s">
        <v>855</v>
      </c>
    </row>
    <row r="625" spans="1:6" x14ac:dyDescent="0.25">
      <c r="A625" t="s">
        <v>3882</v>
      </c>
      <c r="C625" t="s">
        <v>3187</v>
      </c>
      <c r="F625" t="s">
        <v>856</v>
      </c>
    </row>
    <row r="626" spans="1:6" x14ac:dyDescent="0.25">
      <c r="A626" t="s">
        <v>1290</v>
      </c>
      <c r="C626" t="s">
        <v>3188</v>
      </c>
      <c r="F626" t="s">
        <v>857</v>
      </c>
    </row>
    <row r="627" spans="1:6" x14ac:dyDescent="0.25">
      <c r="A627" t="s">
        <v>3883</v>
      </c>
      <c r="C627" t="s">
        <v>3189</v>
      </c>
      <c r="F627" t="s">
        <v>858</v>
      </c>
    </row>
    <row r="628" spans="1:6" x14ac:dyDescent="0.25">
      <c r="A628" t="s">
        <v>3884</v>
      </c>
      <c r="C628" t="s">
        <v>3190</v>
      </c>
      <c r="F628" t="s">
        <v>859</v>
      </c>
    </row>
    <row r="629" spans="1:6" x14ac:dyDescent="0.25">
      <c r="A629" t="s">
        <v>3885</v>
      </c>
      <c r="C629" t="s">
        <v>3191</v>
      </c>
      <c r="F629" t="s">
        <v>860</v>
      </c>
    </row>
    <row r="630" spans="1:6" x14ac:dyDescent="0.25">
      <c r="A630" t="s">
        <v>3886</v>
      </c>
      <c r="C630" t="s">
        <v>966</v>
      </c>
      <c r="F630" t="s">
        <v>861</v>
      </c>
    </row>
    <row r="631" spans="1:6" x14ac:dyDescent="0.25">
      <c r="A631" t="s">
        <v>195</v>
      </c>
      <c r="C631" t="s">
        <v>3192</v>
      </c>
      <c r="F631" t="s">
        <v>1119</v>
      </c>
    </row>
    <row r="632" spans="1:6" x14ac:dyDescent="0.25">
      <c r="A632" t="s">
        <v>92</v>
      </c>
      <c r="C632" t="s">
        <v>3193</v>
      </c>
      <c r="F632" t="s">
        <v>1120</v>
      </c>
    </row>
    <row r="633" spans="1:6" x14ac:dyDescent="0.25">
      <c r="A633" t="s">
        <v>146</v>
      </c>
      <c r="C633" t="s">
        <v>3194</v>
      </c>
      <c r="F633" t="s">
        <v>1121</v>
      </c>
    </row>
    <row r="634" spans="1:6" x14ac:dyDescent="0.25">
      <c r="A634" t="s">
        <v>3887</v>
      </c>
      <c r="C634" t="s">
        <v>3195</v>
      </c>
      <c r="F634" t="s">
        <v>1122</v>
      </c>
    </row>
    <row r="635" spans="1:6" x14ac:dyDescent="0.25">
      <c r="A635" t="s">
        <v>3888</v>
      </c>
      <c r="C635" t="s">
        <v>3196</v>
      </c>
      <c r="F635" t="s">
        <v>1123</v>
      </c>
    </row>
    <row r="636" spans="1:6" x14ac:dyDescent="0.25">
      <c r="A636" t="s">
        <v>366</v>
      </c>
      <c r="C636" t="s">
        <v>3197</v>
      </c>
      <c r="F636" t="s">
        <v>1124</v>
      </c>
    </row>
    <row r="637" spans="1:6" x14ac:dyDescent="0.25">
      <c r="A637" t="s">
        <v>3889</v>
      </c>
      <c r="C637" t="s">
        <v>360</v>
      </c>
      <c r="F637" t="s">
        <v>1125</v>
      </c>
    </row>
    <row r="638" spans="1:6" x14ac:dyDescent="0.25">
      <c r="A638" t="s">
        <v>3890</v>
      </c>
      <c r="C638" t="s">
        <v>3198</v>
      </c>
      <c r="F638" t="s">
        <v>1126</v>
      </c>
    </row>
    <row r="639" spans="1:6" x14ac:dyDescent="0.25">
      <c r="A639" t="s">
        <v>3891</v>
      </c>
      <c r="C639" t="s">
        <v>3199</v>
      </c>
      <c r="F639" t="s">
        <v>50</v>
      </c>
    </row>
    <row r="640" spans="1:6" x14ac:dyDescent="0.25">
      <c r="A640" t="s">
        <v>3892</v>
      </c>
      <c r="C640" t="s">
        <v>3200</v>
      </c>
      <c r="F640" t="s">
        <v>1127</v>
      </c>
    </row>
    <row r="641" spans="1:6" x14ac:dyDescent="0.25">
      <c r="A641" t="s">
        <v>3893</v>
      </c>
      <c r="C641" t="s">
        <v>1025</v>
      </c>
      <c r="F641" t="s">
        <v>1128</v>
      </c>
    </row>
    <row r="642" spans="1:6" x14ac:dyDescent="0.25">
      <c r="A642" t="s">
        <v>3894</v>
      </c>
      <c r="C642" t="s">
        <v>3201</v>
      </c>
      <c r="F642" t="s">
        <v>80</v>
      </c>
    </row>
    <row r="643" spans="1:6" x14ac:dyDescent="0.25">
      <c r="A643" t="s">
        <v>1231</v>
      </c>
      <c r="C643" t="s">
        <v>3202</v>
      </c>
      <c r="F643" t="s">
        <v>1129</v>
      </c>
    </row>
    <row r="644" spans="1:6" x14ac:dyDescent="0.25">
      <c r="A644" t="s">
        <v>115</v>
      </c>
      <c r="C644" t="s">
        <v>3203</v>
      </c>
      <c r="F644" t="s">
        <v>45</v>
      </c>
    </row>
    <row r="645" spans="1:6" x14ac:dyDescent="0.25">
      <c r="A645" t="s">
        <v>2384</v>
      </c>
      <c r="C645" t="s">
        <v>3204</v>
      </c>
      <c r="F645" t="s">
        <v>1130</v>
      </c>
    </row>
    <row r="646" spans="1:6" x14ac:dyDescent="0.25">
      <c r="A646" t="s">
        <v>3895</v>
      </c>
      <c r="C646" t="s">
        <v>3205</v>
      </c>
      <c r="F646" t="s">
        <v>1131</v>
      </c>
    </row>
    <row r="647" spans="1:6" x14ac:dyDescent="0.25">
      <c r="A647" t="s">
        <v>3896</v>
      </c>
      <c r="C647" t="s">
        <v>3206</v>
      </c>
      <c r="F647" t="s">
        <v>1132</v>
      </c>
    </row>
    <row r="648" spans="1:6" x14ac:dyDescent="0.25">
      <c r="A648" t="s">
        <v>14</v>
      </c>
      <c r="C648" t="s">
        <v>3207</v>
      </c>
      <c r="F648" t="s">
        <v>1133</v>
      </c>
    </row>
    <row r="649" spans="1:6" x14ac:dyDescent="0.25">
      <c r="A649" t="s">
        <v>90</v>
      </c>
      <c r="C649" t="s">
        <v>3208</v>
      </c>
      <c r="F649" t="s">
        <v>1134</v>
      </c>
    </row>
    <row r="650" spans="1:6" x14ac:dyDescent="0.25">
      <c r="A650" t="s">
        <v>3897</v>
      </c>
      <c r="C650" t="s">
        <v>3209</v>
      </c>
      <c r="F650" t="s">
        <v>1135</v>
      </c>
    </row>
    <row r="651" spans="1:6" x14ac:dyDescent="0.25">
      <c r="A651" t="s">
        <v>3898</v>
      </c>
      <c r="C651" t="s">
        <v>3210</v>
      </c>
      <c r="F651" t="s">
        <v>81</v>
      </c>
    </row>
    <row r="652" spans="1:6" x14ac:dyDescent="0.25">
      <c r="A652" t="s">
        <v>168</v>
      </c>
      <c r="C652" t="s">
        <v>3211</v>
      </c>
      <c r="F652" t="s">
        <v>1136</v>
      </c>
    </row>
    <row r="653" spans="1:6" x14ac:dyDescent="0.25">
      <c r="A653" t="s">
        <v>3899</v>
      </c>
      <c r="C653" t="s">
        <v>3212</v>
      </c>
      <c r="F653" t="s">
        <v>1137</v>
      </c>
    </row>
    <row r="654" spans="1:6" x14ac:dyDescent="0.25">
      <c r="A654" t="s">
        <v>3900</v>
      </c>
      <c r="C654" t="s">
        <v>3213</v>
      </c>
      <c r="F654" t="s">
        <v>1138</v>
      </c>
    </row>
    <row r="655" spans="1:6" x14ac:dyDescent="0.25">
      <c r="A655" t="s">
        <v>3901</v>
      </c>
      <c r="C655" t="s">
        <v>3214</v>
      </c>
      <c r="F655" t="s">
        <v>1139</v>
      </c>
    </row>
    <row r="656" spans="1:6" x14ac:dyDescent="0.25">
      <c r="A656" t="s">
        <v>748</v>
      </c>
      <c r="C656" t="s">
        <v>3215</v>
      </c>
      <c r="F656" t="s">
        <v>1140</v>
      </c>
    </row>
    <row r="657" spans="1:6" x14ac:dyDescent="0.25">
      <c r="A657" t="s">
        <v>3902</v>
      </c>
      <c r="C657" t="s">
        <v>3216</v>
      </c>
      <c r="F657" t="s">
        <v>1141</v>
      </c>
    </row>
    <row r="658" spans="1:6" x14ac:dyDescent="0.25">
      <c r="A658" t="s">
        <v>3903</v>
      </c>
      <c r="C658" t="s">
        <v>3217</v>
      </c>
      <c r="F658" t="s">
        <v>1142</v>
      </c>
    </row>
    <row r="659" spans="1:6" x14ac:dyDescent="0.25">
      <c r="A659" t="s">
        <v>3904</v>
      </c>
      <c r="C659" t="s">
        <v>3218</v>
      </c>
      <c r="F659" t="s">
        <v>1143</v>
      </c>
    </row>
    <row r="660" spans="1:6" x14ac:dyDescent="0.25">
      <c r="A660" t="s">
        <v>114</v>
      </c>
      <c r="C660" t="s">
        <v>3219</v>
      </c>
      <c r="F660" t="s">
        <v>1144</v>
      </c>
    </row>
    <row r="661" spans="1:6" x14ac:dyDescent="0.25">
      <c r="A661" t="s">
        <v>17</v>
      </c>
      <c r="C661" t="s">
        <v>3220</v>
      </c>
      <c r="F661" t="s">
        <v>1145</v>
      </c>
    </row>
    <row r="662" spans="1:6" x14ac:dyDescent="0.25">
      <c r="A662" t="s">
        <v>2451</v>
      </c>
      <c r="C662" t="s">
        <v>3221</v>
      </c>
      <c r="F662" t="s">
        <v>1146</v>
      </c>
    </row>
    <row r="663" spans="1:6" x14ac:dyDescent="0.25">
      <c r="A663" t="s">
        <v>3905</v>
      </c>
      <c r="C663" t="s">
        <v>3222</v>
      </c>
      <c r="F663" t="s">
        <v>1147</v>
      </c>
    </row>
    <row r="664" spans="1:6" x14ac:dyDescent="0.25">
      <c r="A664" t="s">
        <v>3906</v>
      </c>
      <c r="C664" t="s">
        <v>3223</v>
      </c>
      <c r="F664" t="s">
        <v>1148</v>
      </c>
    </row>
    <row r="665" spans="1:6" x14ac:dyDescent="0.25">
      <c r="A665" t="s">
        <v>2707</v>
      </c>
      <c r="C665" t="s">
        <v>3224</v>
      </c>
      <c r="F665" t="s">
        <v>1149</v>
      </c>
    </row>
    <row r="666" spans="1:6" x14ac:dyDescent="0.25">
      <c r="A666" t="s">
        <v>25</v>
      </c>
      <c r="C666" t="s">
        <v>3225</v>
      </c>
      <c r="F666" t="s">
        <v>1150</v>
      </c>
    </row>
    <row r="667" spans="1:6" x14ac:dyDescent="0.25">
      <c r="A667" t="s">
        <v>3907</v>
      </c>
      <c r="C667" t="s">
        <v>3226</v>
      </c>
      <c r="F667" t="s">
        <v>1151</v>
      </c>
    </row>
    <row r="668" spans="1:6" x14ac:dyDescent="0.25">
      <c r="A668" t="s">
        <v>3908</v>
      </c>
      <c r="C668" t="s">
        <v>3227</v>
      </c>
      <c r="F668" t="s">
        <v>1152</v>
      </c>
    </row>
    <row r="669" spans="1:6" x14ac:dyDescent="0.25">
      <c r="A669" t="s">
        <v>3909</v>
      </c>
      <c r="C669" t="s">
        <v>3228</v>
      </c>
      <c r="F669" t="s">
        <v>1153</v>
      </c>
    </row>
    <row r="670" spans="1:6" x14ac:dyDescent="0.25">
      <c r="A670" t="s">
        <v>3910</v>
      </c>
      <c r="C670" t="s">
        <v>3229</v>
      </c>
      <c r="F670" t="s">
        <v>1154</v>
      </c>
    </row>
    <row r="671" spans="1:6" x14ac:dyDescent="0.25">
      <c r="A671" t="s">
        <v>1546</v>
      </c>
      <c r="C671" t="s">
        <v>3230</v>
      </c>
      <c r="F671" t="s">
        <v>43</v>
      </c>
    </row>
    <row r="672" spans="1:6" x14ac:dyDescent="0.25">
      <c r="A672" t="s">
        <v>3911</v>
      </c>
      <c r="C672" t="s">
        <v>3231</v>
      </c>
      <c r="F672" t="s">
        <v>1155</v>
      </c>
    </row>
    <row r="673" spans="1:6" x14ac:dyDescent="0.25">
      <c r="A673" t="s">
        <v>87</v>
      </c>
      <c r="C673" t="s">
        <v>3232</v>
      </c>
      <c r="F673" t="s">
        <v>1156</v>
      </c>
    </row>
    <row r="674" spans="1:6" x14ac:dyDescent="0.25">
      <c r="A674" t="s">
        <v>3912</v>
      </c>
      <c r="C674" t="s">
        <v>3233</v>
      </c>
      <c r="F674" t="s">
        <v>1157</v>
      </c>
    </row>
    <row r="675" spans="1:6" x14ac:dyDescent="0.25">
      <c r="A675" t="s">
        <v>139</v>
      </c>
      <c r="C675" t="s">
        <v>3234</v>
      </c>
      <c r="F675" t="s">
        <v>881</v>
      </c>
    </row>
    <row r="676" spans="1:6" x14ac:dyDescent="0.25">
      <c r="A676" t="s">
        <v>671</v>
      </c>
      <c r="C676" t="s">
        <v>3235</v>
      </c>
      <c r="F676" t="s">
        <v>1158</v>
      </c>
    </row>
    <row r="677" spans="1:6" x14ac:dyDescent="0.25">
      <c r="A677" t="s">
        <v>2455</v>
      </c>
      <c r="C677" t="s">
        <v>3236</v>
      </c>
      <c r="F677" t="s">
        <v>1159</v>
      </c>
    </row>
    <row r="678" spans="1:6" x14ac:dyDescent="0.25">
      <c r="A678" t="s">
        <v>3913</v>
      </c>
      <c r="C678" t="s">
        <v>3237</v>
      </c>
      <c r="F678" t="s">
        <v>1160</v>
      </c>
    </row>
    <row r="679" spans="1:6" x14ac:dyDescent="0.25">
      <c r="A679" t="s">
        <v>1243</v>
      </c>
      <c r="C679" t="s">
        <v>3238</v>
      </c>
      <c r="F679" t="s">
        <v>1161</v>
      </c>
    </row>
    <row r="680" spans="1:6" x14ac:dyDescent="0.25">
      <c r="A680" t="s">
        <v>49</v>
      </c>
      <c r="C680" t="s">
        <v>3239</v>
      </c>
      <c r="F680" t="s">
        <v>1162</v>
      </c>
    </row>
    <row r="681" spans="1:6" x14ac:dyDescent="0.25">
      <c r="A681" t="s">
        <v>3914</v>
      </c>
      <c r="C681" t="s">
        <v>3240</v>
      </c>
      <c r="F681" t="s">
        <v>1163</v>
      </c>
    </row>
    <row r="682" spans="1:6" x14ac:dyDescent="0.25">
      <c r="A682" t="s">
        <v>644</v>
      </c>
      <c r="C682" t="s">
        <v>3241</v>
      </c>
      <c r="F682" t="s">
        <v>1164</v>
      </c>
    </row>
    <row r="683" spans="1:6" x14ac:dyDescent="0.25">
      <c r="A683" t="s">
        <v>3915</v>
      </c>
      <c r="C683" t="s">
        <v>3242</v>
      </c>
      <c r="F683" t="s">
        <v>1165</v>
      </c>
    </row>
    <row r="684" spans="1:6" x14ac:dyDescent="0.25">
      <c r="A684" t="s">
        <v>3916</v>
      </c>
      <c r="C684" t="s">
        <v>3243</v>
      </c>
      <c r="F684" t="s">
        <v>1166</v>
      </c>
    </row>
    <row r="685" spans="1:6" x14ac:dyDescent="0.25">
      <c r="A685" t="s">
        <v>133</v>
      </c>
      <c r="C685" t="s">
        <v>3244</v>
      </c>
      <c r="F685" t="s">
        <v>1167</v>
      </c>
    </row>
    <row r="686" spans="1:6" x14ac:dyDescent="0.25">
      <c r="A686" t="s">
        <v>3917</v>
      </c>
      <c r="C686" t="s">
        <v>3245</v>
      </c>
      <c r="F686" t="s">
        <v>70</v>
      </c>
    </row>
    <row r="687" spans="1:6" x14ac:dyDescent="0.25">
      <c r="A687" t="s">
        <v>3918</v>
      </c>
      <c r="C687" t="s">
        <v>3246</v>
      </c>
      <c r="F687" t="s">
        <v>1168</v>
      </c>
    </row>
    <row r="688" spans="1:6" x14ac:dyDescent="0.25">
      <c r="A688" t="s">
        <v>3919</v>
      </c>
      <c r="C688" t="s">
        <v>3247</v>
      </c>
      <c r="F688" t="s">
        <v>1169</v>
      </c>
    </row>
    <row r="689" spans="1:6" x14ac:dyDescent="0.25">
      <c r="A689" t="s">
        <v>1200</v>
      </c>
      <c r="C689" t="s">
        <v>3248</v>
      </c>
      <c r="F689" t="s">
        <v>1170</v>
      </c>
    </row>
    <row r="690" spans="1:6" x14ac:dyDescent="0.25">
      <c r="A690" t="s">
        <v>3920</v>
      </c>
      <c r="C690" t="s">
        <v>3249</v>
      </c>
      <c r="F690" t="s">
        <v>1171</v>
      </c>
    </row>
    <row r="691" spans="1:6" x14ac:dyDescent="0.25">
      <c r="A691" t="s">
        <v>3921</v>
      </c>
      <c r="C691" t="s">
        <v>3250</v>
      </c>
      <c r="F691" t="s">
        <v>1172</v>
      </c>
    </row>
    <row r="692" spans="1:6" x14ac:dyDescent="0.25">
      <c r="A692" t="s">
        <v>3922</v>
      </c>
      <c r="C692" t="s">
        <v>3251</v>
      </c>
      <c r="F692" t="s">
        <v>1173</v>
      </c>
    </row>
    <row r="693" spans="1:6" x14ac:dyDescent="0.25">
      <c r="A693" t="s">
        <v>3923</v>
      </c>
      <c r="C693" t="s">
        <v>3252</v>
      </c>
      <c r="F693" t="s">
        <v>1174</v>
      </c>
    </row>
    <row r="694" spans="1:6" x14ac:dyDescent="0.25">
      <c r="A694" t="s">
        <v>2351</v>
      </c>
      <c r="C694" t="s">
        <v>3253</v>
      </c>
      <c r="F694" t="s">
        <v>1175</v>
      </c>
    </row>
    <row r="695" spans="1:6" x14ac:dyDescent="0.25">
      <c r="A695" t="s">
        <v>3924</v>
      </c>
      <c r="C695" t="s">
        <v>3254</v>
      </c>
      <c r="F695" t="s">
        <v>1176</v>
      </c>
    </row>
    <row r="696" spans="1:6" x14ac:dyDescent="0.25">
      <c r="A696" t="s">
        <v>3925</v>
      </c>
      <c r="C696" t="s">
        <v>3255</v>
      </c>
      <c r="F696" t="s">
        <v>1177</v>
      </c>
    </row>
    <row r="697" spans="1:6" x14ac:dyDescent="0.25">
      <c r="A697" t="s">
        <v>3926</v>
      </c>
      <c r="C697" t="s">
        <v>3256</v>
      </c>
      <c r="F697" t="s">
        <v>1178</v>
      </c>
    </row>
    <row r="698" spans="1:6" x14ac:dyDescent="0.25">
      <c r="A698" t="s">
        <v>3927</v>
      </c>
      <c r="C698" t="s">
        <v>3257</v>
      </c>
      <c r="F698" t="s">
        <v>1179</v>
      </c>
    </row>
    <row r="699" spans="1:6" x14ac:dyDescent="0.25">
      <c r="A699" t="s">
        <v>3928</v>
      </c>
      <c r="C699" t="s">
        <v>3258</v>
      </c>
      <c r="F699" t="s">
        <v>1180</v>
      </c>
    </row>
    <row r="700" spans="1:6" x14ac:dyDescent="0.25">
      <c r="A700" t="s">
        <v>12</v>
      </c>
      <c r="C700" t="s">
        <v>3259</v>
      </c>
      <c r="F700" t="s">
        <v>1181</v>
      </c>
    </row>
    <row r="701" spans="1:6" x14ac:dyDescent="0.25">
      <c r="A701" t="s">
        <v>3929</v>
      </c>
      <c r="C701" t="s">
        <v>3260</v>
      </c>
      <c r="F701" t="s">
        <v>1182</v>
      </c>
    </row>
    <row r="702" spans="1:6" x14ac:dyDescent="0.25">
      <c r="A702" t="s">
        <v>82</v>
      </c>
      <c r="C702" t="s">
        <v>3261</v>
      </c>
      <c r="F702" t="s">
        <v>1183</v>
      </c>
    </row>
    <row r="703" spans="1:6" x14ac:dyDescent="0.25">
      <c r="A703" t="s">
        <v>3930</v>
      </c>
      <c r="C703" t="s">
        <v>3262</v>
      </c>
      <c r="F703" t="s">
        <v>1184</v>
      </c>
    </row>
    <row r="704" spans="1:6" x14ac:dyDescent="0.25">
      <c r="A704" t="s">
        <v>1383</v>
      </c>
      <c r="C704" t="s">
        <v>3263</v>
      </c>
      <c r="F704" t="s">
        <v>1185</v>
      </c>
    </row>
    <row r="705" spans="1:6" x14ac:dyDescent="0.25">
      <c r="A705" t="s">
        <v>433</v>
      </c>
      <c r="C705" t="s">
        <v>3264</v>
      </c>
      <c r="F705" t="s">
        <v>1186</v>
      </c>
    </row>
    <row r="706" spans="1:6" x14ac:dyDescent="0.25">
      <c r="A706" t="s">
        <v>3931</v>
      </c>
      <c r="C706" t="s">
        <v>3265</v>
      </c>
      <c r="F706" t="s">
        <v>1187</v>
      </c>
    </row>
    <row r="707" spans="1:6" x14ac:dyDescent="0.25">
      <c r="A707" t="s">
        <v>3932</v>
      </c>
      <c r="C707" t="s">
        <v>3266</v>
      </c>
      <c r="F707" t="s">
        <v>1188</v>
      </c>
    </row>
    <row r="708" spans="1:6" x14ac:dyDescent="0.25">
      <c r="A708" t="s">
        <v>154</v>
      </c>
      <c r="C708" t="s">
        <v>3267</v>
      </c>
      <c r="F708" t="s">
        <v>1189</v>
      </c>
    </row>
    <row r="709" spans="1:6" x14ac:dyDescent="0.25">
      <c r="A709" t="s">
        <v>51</v>
      </c>
      <c r="C709" t="s">
        <v>958</v>
      </c>
      <c r="F709" t="s">
        <v>1190</v>
      </c>
    </row>
    <row r="710" spans="1:6" x14ac:dyDescent="0.25">
      <c r="A710" t="s">
        <v>3933</v>
      </c>
      <c r="C710" t="s">
        <v>3268</v>
      </c>
      <c r="F710" t="s">
        <v>954</v>
      </c>
    </row>
    <row r="711" spans="1:6" x14ac:dyDescent="0.25">
      <c r="A711" t="s">
        <v>2328</v>
      </c>
      <c r="C711" t="s">
        <v>1575</v>
      </c>
      <c r="F711" t="s">
        <v>1191</v>
      </c>
    </row>
    <row r="712" spans="1:6" x14ac:dyDescent="0.25">
      <c r="A712" t="s">
        <v>3934</v>
      </c>
      <c r="C712" t="s">
        <v>3269</v>
      </c>
      <c r="F712" t="s">
        <v>1192</v>
      </c>
    </row>
    <row r="713" spans="1:6" x14ac:dyDescent="0.25">
      <c r="A713" t="s">
        <v>3935</v>
      </c>
      <c r="C713" t="s">
        <v>3270</v>
      </c>
      <c r="F713" t="s">
        <v>1193</v>
      </c>
    </row>
    <row r="714" spans="1:6" x14ac:dyDescent="0.25">
      <c r="A714" t="s">
        <v>3936</v>
      </c>
      <c r="C714" t="s">
        <v>939</v>
      </c>
      <c r="F714" t="s">
        <v>1194</v>
      </c>
    </row>
    <row r="715" spans="1:6" x14ac:dyDescent="0.25">
      <c r="A715" t="s">
        <v>3937</v>
      </c>
      <c r="C715" t="s">
        <v>3271</v>
      </c>
      <c r="F715" t="s">
        <v>1195</v>
      </c>
    </row>
    <row r="716" spans="1:6" x14ac:dyDescent="0.25">
      <c r="A716" t="s">
        <v>3938</v>
      </c>
      <c r="C716" t="s">
        <v>3272</v>
      </c>
      <c r="F716" t="s">
        <v>1196</v>
      </c>
    </row>
    <row r="717" spans="1:6" x14ac:dyDescent="0.25">
      <c r="A717" t="s">
        <v>3939</v>
      </c>
      <c r="C717" t="s">
        <v>3273</v>
      </c>
      <c r="F717" t="s">
        <v>1197</v>
      </c>
    </row>
    <row r="718" spans="1:6" x14ac:dyDescent="0.25">
      <c r="A718" t="s">
        <v>136</v>
      </c>
      <c r="C718" t="s">
        <v>3274</v>
      </c>
      <c r="F718" t="s">
        <v>1198</v>
      </c>
    </row>
    <row r="719" spans="1:6" x14ac:dyDescent="0.25">
      <c r="A719" t="s">
        <v>3940</v>
      </c>
      <c r="C719" t="s">
        <v>3275</v>
      </c>
      <c r="F719" t="s">
        <v>1199</v>
      </c>
    </row>
    <row r="720" spans="1:6" x14ac:dyDescent="0.25">
      <c r="A720" t="s">
        <v>3941</v>
      </c>
      <c r="C720" t="s">
        <v>3276</v>
      </c>
      <c r="F720" t="s">
        <v>1200</v>
      </c>
    </row>
    <row r="721" spans="1:6" x14ac:dyDescent="0.25">
      <c r="A721" t="s">
        <v>3942</v>
      </c>
      <c r="C721" t="s">
        <v>3277</v>
      </c>
      <c r="F721" t="s">
        <v>1201</v>
      </c>
    </row>
    <row r="722" spans="1:6" x14ac:dyDescent="0.25">
      <c r="A722" t="s">
        <v>23</v>
      </c>
      <c r="C722" t="s">
        <v>3278</v>
      </c>
      <c r="F722" t="s">
        <v>1202</v>
      </c>
    </row>
    <row r="723" spans="1:6" x14ac:dyDescent="0.25">
      <c r="A723" t="s">
        <v>3943</v>
      </c>
      <c r="C723" t="s">
        <v>3279</v>
      </c>
      <c r="F723" t="s">
        <v>1203</v>
      </c>
    </row>
    <row r="724" spans="1:6" x14ac:dyDescent="0.25">
      <c r="A724" t="s">
        <v>3944</v>
      </c>
      <c r="C724" t="s">
        <v>3280</v>
      </c>
      <c r="F724" t="s">
        <v>1204</v>
      </c>
    </row>
    <row r="725" spans="1:6" x14ac:dyDescent="0.25">
      <c r="A725" t="s">
        <v>118</v>
      </c>
      <c r="C725" t="s">
        <v>3281</v>
      </c>
      <c r="F725" t="s">
        <v>1205</v>
      </c>
    </row>
    <row r="726" spans="1:6" x14ac:dyDescent="0.25">
      <c r="A726" t="s">
        <v>1839</v>
      </c>
      <c r="C726" t="s">
        <v>3282</v>
      </c>
      <c r="F726" t="s">
        <v>1206</v>
      </c>
    </row>
    <row r="727" spans="1:6" x14ac:dyDescent="0.25">
      <c r="A727" t="s">
        <v>3945</v>
      </c>
      <c r="C727" t="s">
        <v>3283</v>
      </c>
      <c r="F727" t="s">
        <v>1207</v>
      </c>
    </row>
    <row r="728" spans="1:6" x14ac:dyDescent="0.25">
      <c r="A728" t="s">
        <v>3946</v>
      </c>
      <c r="C728" t="s">
        <v>3284</v>
      </c>
      <c r="F728" t="s">
        <v>1208</v>
      </c>
    </row>
    <row r="729" spans="1:6" x14ac:dyDescent="0.25">
      <c r="A729" t="s">
        <v>3947</v>
      </c>
      <c r="C729" t="s">
        <v>3285</v>
      </c>
      <c r="F729" t="s">
        <v>1209</v>
      </c>
    </row>
    <row r="730" spans="1:6" x14ac:dyDescent="0.25">
      <c r="A730" t="s">
        <v>3948</v>
      </c>
      <c r="C730" t="s">
        <v>3286</v>
      </c>
      <c r="F730" t="s">
        <v>1210</v>
      </c>
    </row>
    <row r="731" spans="1:6" x14ac:dyDescent="0.25">
      <c r="A731" t="s">
        <v>1588</v>
      </c>
      <c r="C731" t="s">
        <v>3287</v>
      </c>
      <c r="F731" t="s">
        <v>1211</v>
      </c>
    </row>
    <row r="732" spans="1:6" x14ac:dyDescent="0.25">
      <c r="A732" t="s">
        <v>3949</v>
      </c>
      <c r="C732" t="s">
        <v>3288</v>
      </c>
      <c r="F732" t="s">
        <v>1212</v>
      </c>
    </row>
    <row r="733" spans="1:6" x14ac:dyDescent="0.25">
      <c r="A733" t="s">
        <v>3950</v>
      </c>
      <c r="C733" t="s">
        <v>3289</v>
      </c>
      <c r="F733" t="s">
        <v>1213</v>
      </c>
    </row>
    <row r="734" spans="1:6" x14ac:dyDescent="0.25">
      <c r="A734" t="s">
        <v>3951</v>
      </c>
      <c r="C734" t="s">
        <v>3290</v>
      </c>
      <c r="F734" t="s">
        <v>1214</v>
      </c>
    </row>
    <row r="735" spans="1:6" x14ac:dyDescent="0.25">
      <c r="A735" t="s">
        <v>70</v>
      </c>
      <c r="C735" t="s">
        <v>3291</v>
      </c>
      <c r="F735" t="s">
        <v>120</v>
      </c>
    </row>
    <row r="736" spans="1:6" x14ac:dyDescent="0.25">
      <c r="A736" t="s">
        <v>3952</v>
      </c>
      <c r="C736" t="s">
        <v>3292</v>
      </c>
      <c r="F736" t="s">
        <v>1215</v>
      </c>
    </row>
    <row r="737" spans="1:6" x14ac:dyDescent="0.25">
      <c r="A737" t="s">
        <v>1685</v>
      </c>
      <c r="C737" t="s">
        <v>3293</v>
      </c>
      <c r="F737" t="s">
        <v>1216</v>
      </c>
    </row>
    <row r="738" spans="1:6" x14ac:dyDescent="0.25">
      <c r="A738" t="s">
        <v>3953</v>
      </c>
      <c r="C738" t="s">
        <v>3294</v>
      </c>
      <c r="F738" t="s">
        <v>1217</v>
      </c>
    </row>
    <row r="739" spans="1:6" x14ac:dyDescent="0.25">
      <c r="A739" t="s">
        <v>3954</v>
      </c>
      <c r="C739" t="s">
        <v>3295</v>
      </c>
      <c r="F739" t="s">
        <v>1218</v>
      </c>
    </row>
    <row r="740" spans="1:6" x14ac:dyDescent="0.25">
      <c r="A740" t="s">
        <v>2775</v>
      </c>
      <c r="C740" t="s">
        <v>3296</v>
      </c>
      <c r="F740" t="s">
        <v>1219</v>
      </c>
    </row>
    <row r="741" spans="1:6" x14ac:dyDescent="0.25">
      <c r="A741" t="s">
        <v>3955</v>
      </c>
      <c r="C741" t="s">
        <v>979</v>
      </c>
      <c r="F741" t="s">
        <v>1220</v>
      </c>
    </row>
    <row r="742" spans="1:6" x14ac:dyDescent="0.25">
      <c r="A742" t="s">
        <v>478</v>
      </c>
      <c r="C742" t="s">
        <v>1030</v>
      </c>
      <c r="F742" t="s">
        <v>3</v>
      </c>
    </row>
    <row r="743" spans="1:6" x14ac:dyDescent="0.25">
      <c r="A743" t="s">
        <v>3956</v>
      </c>
      <c r="C743" t="s">
        <v>3297</v>
      </c>
      <c r="F743" t="s">
        <v>1221</v>
      </c>
    </row>
    <row r="744" spans="1:6" x14ac:dyDescent="0.25">
      <c r="A744" t="s">
        <v>3957</v>
      </c>
      <c r="C744" t="s">
        <v>3298</v>
      </c>
      <c r="F744" t="s">
        <v>1222</v>
      </c>
    </row>
    <row r="745" spans="1:6" x14ac:dyDescent="0.25">
      <c r="A745" t="s">
        <v>3958</v>
      </c>
      <c r="C745" t="s">
        <v>2695</v>
      </c>
      <c r="F745" t="s">
        <v>1223</v>
      </c>
    </row>
    <row r="746" spans="1:6" x14ac:dyDescent="0.25">
      <c r="A746" t="s">
        <v>3959</v>
      </c>
      <c r="C746" t="s">
        <v>940</v>
      </c>
      <c r="F746" t="s">
        <v>1224</v>
      </c>
    </row>
    <row r="747" spans="1:6" x14ac:dyDescent="0.25">
      <c r="A747" t="s">
        <v>3960</v>
      </c>
      <c r="C747" t="s">
        <v>3299</v>
      </c>
      <c r="F747" t="s">
        <v>1225</v>
      </c>
    </row>
    <row r="748" spans="1:6" x14ac:dyDescent="0.25">
      <c r="A748" t="s">
        <v>3961</v>
      </c>
      <c r="C748" t="s">
        <v>3300</v>
      </c>
      <c r="F748" t="s">
        <v>1226</v>
      </c>
    </row>
    <row r="749" spans="1:6" x14ac:dyDescent="0.25">
      <c r="A749" t="s">
        <v>3962</v>
      </c>
      <c r="C749" t="s">
        <v>3301</v>
      </c>
      <c r="F749" t="s">
        <v>1227</v>
      </c>
    </row>
    <row r="750" spans="1:6" x14ac:dyDescent="0.25">
      <c r="A750" t="s">
        <v>3963</v>
      </c>
      <c r="C750" t="s">
        <v>3302</v>
      </c>
      <c r="F750" t="s">
        <v>1228</v>
      </c>
    </row>
    <row r="751" spans="1:6" x14ac:dyDescent="0.25">
      <c r="A751" t="s">
        <v>3964</v>
      </c>
      <c r="C751" t="s">
        <v>3303</v>
      </c>
      <c r="F751" t="s">
        <v>1229</v>
      </c>
    </row>
    <row r="752" spans="1:6" x14ac:dyDescent="0.25">
      <c r="A752" t="s">
        <v>3965</v>
      </c>
      <c r="C752" t="s">
        <v>3304</v>
      </c>
      <c r="F752" t="s">
        <v>1230</v>
      </c>
    </row>
    <row r="753" spans="1:6" x14ac:dyDescent="0.25">
      <c r="A753" t="s">
        <v>910</v>
      </c>
      <c r="C753" t="s">
        <v>3305</v>
      </c>
      <c r="F753" t="s">
        <v>1231</v>
      </c>
    </row>
    <row r="754" spans="1:6" x14ac:dyDescent="0.25">
      <c r="A754" t="s">
        <v>3966</v>
      </c>
      <c r="C754" t="s">
        <v>3306</v>
      </c>
      <c r="F754" t="s">
        <v>1232</v>
      </c>
    </row>
    <row r="755" spans="1:6" x14ac:dyDescent="0.25">
      <c r="A755" t="s">
        <v>3967</v>
      </c>
      <c r="C755" t="s">
        <v>3307</v>
      </c>
      <c r="F755" t="s">
        <v>1233</v>
      </c>
    </row>
    <row r="756" spans="1:6" x14ac:dyDescent="0.25">
      <c r="A756" t="s">
        <v>3968</v>
      </c>
      <c r="C756" t="s">
        <v>3308</v>
      </c>
      <c r="F756" t="s">
        <v>1234</v>
      </c>
    </row>
    <row r="757" spans="1:6" x14ac:dyDescent="0.25">
      <c r="A757" t="s">
        <v>3969</v>
      </c>
      <c r="C757" t="s">
        <v>3309</v>
      </c>
      <c r="F757" t="s">
        <v>1235</v>
      </c>
    </row>
    <row r="758" spans="1:6" x14ac:dyDescent="0.25">
      <c r="A758" t="s">
        <v>3970</v>
      </c>
      <c r="C758" t="s">
        <v>3310</v>
      </c>
      <c r="F758" t="s">
        <v>1236</v>
      </c>
    </row>
    <row r="759" spans="1:6" x14ac:dyDescent="0.25">
      <c r="A759" t="s">
        <v>881</v>
      </c>
      <c r="C759" t="s">
        <v>3311</v>
      </c>
      <c r="F759" t="s">
        <v>1237</v>
      </c>
    </row>
    <row r="760" spans="1:6" x14ac:dyDescent="0.25">
      <c r="A760" t="s">
        <v>235</v>
      </c>
      <c r="C760" t="s">
        <v>3312</v>
      </c>
      <c r="F760" t="s">
        <v>1238</v>
      </c>
    </row>
    <row r="761" spans="1:6" x14ac:dyDescent="0.25">
      <c r="A761" t="s">
        <v>3971</v>
      </c>
      <c r="C761" t="s">
        <v>3313</v>
      </c>
      <c r="F761" t="s">
        <v>1239</v>
      </c>
    </row>
    <row r="762" spans="1:6" x14ac:dyDescent="0.25">
      <c r="A762" t="s">
        <v>3972</v>
      </c>
      <c r="C762" t="s">
        <v>3314</v>
      </c>
      <c r="F762" t="s">
        <v>1240</v>
      </c>
    </row>
    <row r="763" spans="1:6" x14ac:dyDescent="0.25">
      <c r="A763" t="s">
        <v>2165</v>
      </c>
      <c r="C763" t="s">
        <v>3315</v>
      </c>
      <c r="F763" t="s">
        <v>230</v>
      </c>
    </row>
    <row r="764" spans="1:6" x14ac:dyDescent="0.25">
      <c r="A764" t="s">
        <v>1202</v>
      </c>
      <c r="C764" t="s">
        <v>3316</v>
      </c>
      <c r="F764" t="s">
        <v>1241</v>
      </c>
    </row>
    <row r="765" spans="1:6" x14ac:dyDescent="0.25">
      <c r="A765" t="s">
        <v>3973</v>
      </c>
      <c r="C765" t="s">
        <v>3317</v>
      </c>
      <c r="F765" t="s">
        <v>1242</v>
      </c>
    </row>
    <row r="766" spans="1:6" x14ac:dyDescent="0.25">
      <c r="A766" t="s">
        <v>2661</v>
      </c>
      <c r="C766" t="s">
        <v>3318</v>
      </c>
      <c r="F766" t="s">
        <v>1243</v>
      </c>
    </row>
    <row r="767" spans="1:6" x14ac:dyDescent="0.25">
      <c r="A767" t="s">
        <v>2194</v>
      </c>
      <c r="C767" t="s">
        <v>3319</v>
      </c>
      <c r="F767" t="s">
        <v>1244</v>
      </c>
    </row>
    <row r="768" spans="1:6" x14ac:dyDescent="0.25">
      <c r="A768" t="s">
        <v>3974</v>
      </c>
      <c r="C768" t="s">
        <v>3320</v>
      </c>
      <c r="F768" t="s">
        <v>1245</v>
      </c>
    </row>
    <row r="769" spans="1:6" x14ac:dyDescent="0.25">
      <c r="A769" t="s">
        <v>3975</v>
      </c>
      <c r="C769" t="s">
        <v>3321</v>
      </c>
      <c r="F769" t="s">
        <v>136</v>
      </c>
    </row>
    <row r="770" spans="1:6" x14ac:dyDescent="0.25">
      <c r="A770" t="s">
        <v>2550</v>
      </c>
      <c r="C770" t="s">
        <v>3322</v>
      </c>
      <c r="F770" t="s">
        <v>1246</v>
      </c>
    </row>
    <row r="771" spans="1:6" x14ac:dyDescent="0.25">
      <c r="A771" t="s">
        <v>1118</v>
      </c>
      <c r="C771" t="s">
        <v>3323</v>
      </c>
      <c r="F771" t="s">
        <v>1247</v>
      </c>
    </row>
    <row r="772" spans="1:6" x14ac:dyDescent="0.25">
      <c r="A772" t="s">
        <v>1800</v>
      </c>
      <c r="C772" t="s">
        <v>3324</v>
      </c>
      <c r="F772" t="s">
        <v>1248</v>
      </c>
    </row>
    <row r="773" spans="1:6" x14ac:dyDescent="0.25">
      <c r="A773" t="s">
        <v>1299</v>
      </c>
      <c r="C773" t="s">
        <v>3325</v>
      </c>
      <c r="F773" t="s">
        <v>1249</v>
      </c>
    </row>
    <row r="774" spans="1:6" x14ac:dyDescent="0.25">
      <c r="A774" t="s">
        <v>2810</v>
      </c>
      <c r="C774" t="s">
        <v>3326</v>
      </c>
      <c r="F774" t="s">
        <v>1250</v>
      </c>
    </row>
    <row r="775" spans="1:6" x14ac:dyDescent="0.25">
      <c r="A775" t="s">
        <v>1411</v>
      </c>
      <c r="C775" t="s">
        <v>3327</v>
      </c>
      <c r="F775" t="s">
        <v>1251</v>
      </c>
    </row>
    <row r="776" spans="1:6" x14ac:dyDescent="0.25">
      <c r="A776" t="s">
        <v>3976</v>
      </c>
      <c r="C776" t="s">
        <v>3328</v>
      </c>
      <c r="F776" t="s">
        <v>1252</v>
      </c>
    </row>
    <row r="777" spans="1:6" x14ac:dyDescent="0.25">
      <c r="A777" t="s">
        <v>3977</v>
      </c>
      <c r="C777" t="s">
        <v>3329</v>
      </c>
      <c r="F777" t="s">
        <v>1253</v>
      </c>
    </row>
    <row r="778" spans="1:6" x14ac:dyDescent="0.25">
      <c r="A778" t="s">
        <v>3978</v>
      </c>
      <c r="C778" t="s">
        <v>3330</v>
      </c>
      <c r="F778" t="s">
        <v>1254</v>
      </c>
    </row>
    <row r="779" spans="1:6" x14ac:dyDescent="0.25">
      <c r="A779" t="s">
        <v>128</v>
      </c>
      <c r="C779" t="s">
        <v>3331</v>
      </c>
      <c r="F779" t="s">
        <v>1255</v>
      </c>
    </row>
    <row r="780" spans="1:6" x14ac:dyDescent="0.25">
      <c r="A780" t="s">
        <v>3979</v>
      </c>
      <c r="C780" t="s">
        <v>3332</v>
      </c>
      <c r="F780" t="s">
        <v>1256</v>
      </c>
    </row>
    <row r="781" spans="1:6" x14ac:dyDescent="0.25">
      <c r="A781" t="s">
        <v>3980</v>
      </c>
      <c r="C781" t="s">
        <v>3333</v>
      </c>
      <c r="F781" t="s">
        <v>1257</v>
      </c>
    </row>
    <row r="782" spans="1:6" x14ac:dyDescent="0.25">
      <c r="A782" t="s">
        <v>3981</v>
      </c>
      <c r="C782" t="s">
        <v>3334</v>
      </c>
      <c r="F782" t="s">
        <v>1258</v>
      </c>
    </row>
    <row r="783" spans="1:6" x14ac:dyDescent="0.25">
      <c r="A783" t="s">
        <v>3982</v>
      </c>
      <c r="C783" t="s">
        <v>3335</v>
      </c>
      <c r="F783" t="s">
        <v>139</v>
      </c>
    </row>
    <row r="784" spans="1:6" x14ac:dyDescent="0.25">
      <c r="A784" t="s">
        <v>3983</v>
      </c>
      <c r="C784" t="s">
        <v>3336</v>
      </c>
      <c r="F784" t="s">
        <v>1259</v>
      </c>
    </row>
    <row r="785" spans="1:6" x14ac:dyDescent="0.25">
      <c r="A785" t="s">
        <v>3984</v>
      </c>
      <c r="C785" t="s">
        <v>3337</v>
      </c>
      <c r="F785" t="s">
        <v>1260</v>
      </c>
    </row>
    <row r="786" spans="1:6" x14ac:dyDescent="0.25">
      <c r="A786" t="s">
        <v>2158</v>
      </c>
      <c r="C786" t="s">
        <v>3338</v>
      </c>
      <c r="F786" t="s">
        <v>1261</v>
      </c>
    </row>
    <row r="787" spans="1:6" x14ac:dyDescent="0.25">
      <c r="A787" t="s">
        <v>439</v>
      </c>
      <c r="C787" t="s">
        <v>3339</v>
      </c>
      <c r="F787" t="s">
        <v>1262</v>
      </c>
    </row>
    <row r="788" spans="1:6" x14ac:dyDescent="0.25">
      <c r="A788" t="s">
        <v>1434</v>
      </c>
      <c r="C788" t="s">
        <v>3340</v>
      </c>
      <c r="F788" t="s">
        <v>1263</v>
      </c>
    </row>
    <row r="789" spans="1:6" x14ac:dyDescent="0.25">
      <c r="A789" t="s">
        <v>3985</v>
      </c>
      <c r="C789" t="s">
        <v>3341</v>
      </c>
      <c r="F789" t="s">
        <v>1264</v>
      </c>
    </row>
    <row r="790" spans="1:6" x14ac:dyDescent="0.25">
      <c r="A790" t="s">
        <v>69</v>
      </c>
      <c r="C790" t="s">
        <v>3342</v>
      </c>
      <c r="F790" t="s">
        <v>1265</v>
      </c>
    </row>
    <row r="791" spans="1:6" x14ac:dyDescent="0.25">
      <c r="A791" t="s">
        <v>1179</v>
      </c>
      <c r="C791" t="s">
        <v>3343</v>
      </c>
      <c r="F791" t="s">
        <v>1266</v>
      </c>
    </row>
    <row r="792" spans="1:6" x14ac:dyDescent="0.25">
      <c r="A792" t="s">
        <v>3986</v>
      </c>
      <c r="C792" t="s">
        <v>3344</v>
      </c>
      <c r="F792" t="s">
        <v>1267</v>
      </c>
    </row>
    <row r="793" spans="1:6" x14ac:dyDescent="0.25">
      <c r="A793" t="s">
        <v>3987</v>
      </c>
      <c r="C793" t="s">
        <v>980</v>
      </c>
      <c r="F793" t="s">
        <v>1268</v>
      </c>
    </row>
    <row r="794" spans="1:6" x14ac:dyDescent="0.25">
      <c r="A794" t="s">
        <v>3988</v>
      </c>
      <c r="C794" t="s">
        <v>3345</v>
      </c>
      <c r="F794" t="s">
        <v>1269</v>
      </c>
    </row>
    <row r="795" spans="1:6" x14ac:dyDescent="0.25">
      <c r="A795" t="s">
        <v>330</v>
      </c>
      <c r="C795" t="s">
        <v>3346</v>
      </c>
      <c r="F795" t="s">
        <v>1270</v>
      </c>
    </row>
    <row r="796" spans="1:6" x14ac:dyDescent="0.25">
      <c r="A796" t="s">
        <v>2636</v>
      </c>
      <c r="C796" t="s">
        <v>3347</v>
      </c>
      <c r="F796" t="s">
        <v>1271</v>
      </c>
    </row>
    <row r="797" spans="1:6" x14ac:dyDescent="0.25">
      <c r="A797" t="s">
        <v>100</v>
      </c>
      <c r="C797" t="s">
        <v>3348</v>
      </c>
      <c r="F797" t="s">
        <v>15</v>
      </c>
    </row>
    <row r="798" spans="1:6" x14ac:dyDescent="0.25">
      <c r="A798" t="s">
        <v>3989</v>
      </c>
      <c r="C798" t="s">
        <v>3349</v>
      </c>
      <c r="F798" t="s">
        <v>1272</v>
      </c>
    </row>
    <row r="799" spans="1:6" x14ac:dyDescent="0.25">
      <c r="A799" t="s">
        <v>743</v>
      </c>
      <c r="C799" t="s">
        <v>3350</v>
      </c>
      <c r="F799" t="s">
        <v>1273</v>
      </c>
    </row>
    <row r="800" spans="1:6" x14ac:dyDescent="0.25">
      <c r="A800" t="s">
        <v>94</v>
      </c>
      <c r="C800" t="s">
        <v>3351</v>
      </c>
      <c r="F800" t="s">
        <v>1274</v>
      </c>
    </row>
    <row r="801" spans="1:6" x14ac:dyDescent="0.25">
      <c r="A801" t="s">
        <v>3990</v>
      </c>
      <c r="C801" t="s">
        <v>3352</v>
      </c>
      <c r="F801" t="s">
        <v>1275</v>
      </c>
    </row>
    <row r="802" spans="1:6" x14ac:dyDescent="0.25">
      <c r="A802" t="s">
        <v>3991</v>
      </c>
      <c r="C802" t="s">
        <v>3353</v>
      </c>
      <c r="F802" t="s">
        <v>1276</v>
      </c>
    </row>
    <row r="803" spans="1:6" x14ac:dyDescent="0.25">
      <c r="A803" t="s">
        <v>3992</v>
      </c>
      <c r="C803" t="s">
        <v>3354</v>
      </c>
      <c r="F803" t="s">
        <v>1277</v>
      </c>
    </row>
    <row r="804" spans="1:6" x14ac:dyDescent="0.25">
      <c r="A804" t="s">
        <v>3993</v>
      </c>
      <c r="C804" t="s">
        <v>3355</v>
      </c>
      <c r="F804" t="s">
        <v>1278</v>
      </c>
    </row>
    <row r="805" spans="1:6" x14ac:dyDescent="0.25">
      <c r="A805" t="s">
        <v>3994</v>
      </c>
      <c r="C805" t="s">
        <v>3356</v>
      </c>
      <c r="F805" t="s">
        <v>1279</v>
      </c>
    </row>
    <row r="806" spans="1:6" x14ac:dyDescent="0.25">
      <c r="A806" t="s">
        <v>3995</v>
      </c>
      <c r="C806" t="s">
        <v>3357</v>
      </c>
      <c r="F806" t="s">
        <v>1280</v>
      </c>
    </row>
    <row r="807" spans="1:6" x14ac:dyDescent="0.25">
      <c r="A807" t="s">
        <v>1169</v>
      </c>
      <c r="C807" t="s">
        <v>3358</v>
      </c>
      <c r="F807" t="s">
        <v>1281</v>
      </c>
    </row>
    <row r="808" spans="1:6" x14ac:dyDescent="0.25">
      <c r="A808" t="s">
        <v>3996</v>
      </c>
      <c r="C808" t="s">
        <v>3359</v>
      </c>
      <c r="F808" t="s">
        <v>984</v>
      </c>
    </row>
    <row r="809" spans="1:6" x14ac:dyDescent="0.25">
      <c r="A809" t="s">
        <v>2290</v>
      </c>
      <c r="C809" t="s">
        <v>3360</v>
      </c>
      <c r="F809" t="s">
        <v>1282</v>
      </c>
    </row>
    <row r="810" spans="1:6" x14ac:dyDescent="0.25">
      <c r="A810" t="s">
        <v>62</v>
      </c>
      <c r="C810" t="s">
        <v>3361</v>
      </c>
      <c r="F810" t="s">
        <v>128</v>
      </c>
    </row>
    <row r="811" spans="1:6" x14ac:dyDescent="0.25">
      <c r="A811" t="s">
        <v>498</v>
      </c>
      <c r="C811" t="s">
        <v>3362</v>
      </c>
      <c r="F811" t="s">
        <v>1283</v>
      </c>
    </row>
    <row r="812" spans="1:6" x14ac:dyDescent="0.25">
      <c r="A812" t="s">
        <v>3997</v>
      </c>
      <c r="C812" t="s">
        <v>3363</v>
      </c>
      <c r="F812" t="s">
        <v>1284</v>
      </c>
    </row>
    <row r="813" spans="1:6" x14ac:dyDescent="0.25">
      <c r="A813" t="s">
        <v>3998</v>
      </c>
      <c r="C813" t="s">
        <v>3364</v>
      </c>
      <c r="F813" t="s">
        <v>1285</v>
      </c>
    </row>
    <row r="814" spans="1:6" x14ac:dyDescent="0.25">
      <c r="A814" t="s">
        <v>3999</v>
      </c>
      <c r="C814" t="s">
        <v>3365</v>
      </c>
      <c r="F814" t="s">
        <v>1286</v>
      </c>
    </row>
    <row r="815" spans="1:6" x14ac:dyDescent="0.25">
      <c r="A815" t="s">
        <v>2430</v>
      </c>
      <c r="C815" t="s">
        <v>3366</v>
      </c>
      <c r="F815" t="s">
        <v>24</v>
      </c>
    </row>
    <row r="816" spans="1:6" x14ac:dyDescent="0.25">
      <c r="A816" t="s">
        <v>4000</v>
      </c>
      <c r="C816" t="s">
        <v>3367</v>
      </c>
      <c r="F816" t="s">
        <v>1287</v>
      </c>
    </row>
    <row r="817" spans="1:6" x14ac:dyDescent="0.25">
      <c r="A817" t="s">
        <v>4001</v>
      </c>
      <c r="C817" t="s">
        <v>3368</v>
      </c>
      <c r="F817" t="s">
        <v>1288</v>
      </c>
    </row>
    <row r="818" spans="1:6" x14ac:dyDescent="0.25">
      <c r="A818" t="s">
        <v>4002</v>
      </c>
      <c r="C818" t="s">
        <v>3369</v>
      </c>
      <c r="F818" t="s">
        <v>1289</v>
      </c>
    </row>
    <row r="819" spans="1:6" x14ac:dyDescent="0.25">
      <c r="A819" t="s">
        <v>1607</v>
      </c>
      <c r="C819" t="s">
        <v>3370</v>
      </c>
      <c r="F819" t="s">
        <v>1290</v>
      </c>
    </row>
    <row r="820" spans="1:6" x14ac:dyDescent="0.25">
      <c r="A820" t="s">
        <v>4003</v>
      </c>
      <c r="C820" t="s">
        <v>3371</v>
      </c>
      <c r="F820" t="s">
        <v>1291</v>
      </c>
    </row>
    <row r="821" spans="1:6" x14ac:dyDescent="0.25">
      <c r="A821" t="s">
        <v>4004</v>
      </c>
      <c r="C821" t="s">
        <v>3372</v>
      </c>
      <c r="F821" t="s">
        <v>1292</v>
      </c>
    </row>
    <row r="822" spans="1:6" x14ac:dyDescent="0.25">
      <c r="A822" t="s">
        <v>4005</v>
      </c>
      <c r="C822" t="s">
        <v>3373</v>
      </c>
      <c r="F822" t="s">
        <v>1293</v>
      </c>
    </row>
    <row r="823" spans="1:6" x14ac:dyDescent="0.25">
      <c r="A823" t="s">
        <v>2465</v>
      </c>
      <c r="C823" t="s">
        <v>900</v>
      </c>
      <c r="F823" t="s">
        <v>1294</v>
      </c>
    </row>
    <row r="824" spans="1:6" x14ac:dyDescent="0.25">
      <c r="A824" t="s">
        <v>4006</v>
      </c>
      <c r="C824" t="s">
        <v>3374</v>
      </c>
      <c r="F824" t="s">
        <v>1295</v>
      </c>
    </row>
    <row r="825" spans="1:6" x14ac:dyDescent="0.25">
      <c r="A825" t="s">
        <v>4007</v>
      </c>
      <c r="C825" t="s">
        <v>3375</v>
      </c>
      <c r="F825" t="s">
        <v>1296</v>
      </c>
    </row>
    <row r="826" spans="1:6" x14ac:dyDescent="0.25">
      <c r="A826" t="s">
        <v>81</v>
      </c>
      <c r="C826" t="s">
        <v>3376</v>
      </c>
      <c r="F826" t="s">
        <v>1297</v>
      </c>
    </row>
    <row r="827" spans="1:6" x14ac:dyDescent="0.25">
      <c r="A827" t="s">
        <v>4008</v>
      </c>
      <c r="C827" t="s">
        <v>3377</v>
      </c>
      <c r="F827" t="s">
        <v>1298</v>
      </c>
    </row>
    <row r="828" spans="1:6" x14ac:dyDescent="0.25">
      <c r="A828" t="s">
        <v>4009</v>
      </c>
      <c r="C828" t="s">
        <v>3378</v>
      </c>
      <c r="F828" t="s">
        <v>1299</v>
      </c>
    </row>
    <row r="829" spans="1:6" x14ac:dyDescent="0.25">
      <c r="A829" t="s">
        <v>211</v>
      </c>
      <c r="C829" t="s">
        <v>117</v>
      </c>
      <c r="F829" t="s">
        <v>1300</v>
      </c>
    </row>
    <row r="830" spans="1:6" x14ac:dyDescent="0.25">
      <c r="A830" t="s">
        <v>85</v>
      </c>
      <c r="C830" t="s">
        <v>3379</v>
      </c>
      <c r="F830" t="s">
        <v>1301</v>
      </c>
    </row>
    <row r="831" spans="1:6" x14ac:dyDescent="0.25">
      <c r="A831" t="s">
        <v>4010</v>
      </c>
      <c r="C831" t="s">
        <v>3380</v>
      </c>
      <c r="F831" t="s">
        <v>1302</v>
      </c>
    </row>
    <row r="832" spans="1:6" x14ac:dyDescent="0.25">
      <c r="A832" t="s">
        <v>2649</v>
      </c>
      <c r="C832" t="s">
        <v>3381</v>
      </c>
      <c r="F832" t="s">
        <v>1303</v>
      </c>
    </row>
    <row r="833" spans="1:6" x14ac:dyDescent="0.25">
      <c r="A833" t="s">
        <v>4011</v>
      </c>
      <c r="C833" t="s">
        <v>3382</v>
      </c>
      <c r="F833" t="s">
        <v>1304</v>
      </c>
    </row>
    <row r="834" spans="1:6" x14ac:dyDescent="0.25">
      <c r="A834" t="s">
        <v>4012</v>
      </c>
      <c r="C834" t="s">
        <v>3383</v>
      </c>
      <c r="F834" t="s">
        <v>1305</v>
      </c>
    </row>
    <row r="835" spans="1:6" x14ac:dyDescent="0.25">
      <c r="A835" t="s">
        <v>1740</v>
      </c>
      <c r="C835" t="s">
        <v>3384</v>
      </c>
      <c r="F835" t="s">
        <v>1306</v>
      </c>
    </row>
    <row r="836" spans="1:6" x14ac:dyDescent="0.25">
      <c r="A836" t="s">
        <v>4013</v>
      </c>
      <c r="C836" t="s">
        <v>3385</v>
      </c>
      <c r="F836" t="s">
        <v>1307</v>
      </c>
    </row>
    <row r="837" spans="1:6" x14ac:dyDescent="0.25">
      <c r="A837" t="s">
        <v>219</v>
      </c>
      <c r="C837" t="s">
        <v>3386</v>
      </c>
      <c r="F837" t="s">
        <v>1308</v>
      </c>
    </row>
    <row r="838" spans="1:6" x14ac:dyDescent="0.25">
      <c r="A838" t="s">
        <v>612</v>
      </c>
      <c r="C838" t="s">
        <v>3387</v>
      </c>
      <c r="F838" t="s">
        <v>1309</v>
      </c>
    </row>
    <row r="839" spans="1:6" x14ac:dyDescent="0.25">
      <c r="A839" t="s">
        <v>4014</v>
      </c>
      <c r="C839" t="s">
        <v>3388</v>
      </c>
      <c r="F839" t="s">
        <v>1310</v>
      </c>
    </row>
    <row r="840" spans="1:6" x14ac:dyDescent="0.25">
      <c r="A840" t="s">
        <v>4015</v>
      </c>
      <c r="C840" t="s">
        <v>3389</v>
      </c>
      <c r="F840" t="s">
        <v>1311</v>
      </c>
    </row>
    <row r="841" spans="1:6" x14ac:dyDescent="0.25">
      <c r="A841" t="s">
        <v>4016</v>
      </c>
      <c r="C841" t="s">
        <v>3390</v>
      </c>
      <c r="F841" t="s">
        <v>1312</v>
      </c>
    </row>
    <row r="842" spans="1:6" x14ac:dyDescent="0.25">
      <c r="A842" t="s">
        <v>1173</v>
      </c>
      <c r="C842" t="s">
        <v>3391</v>
      </c>
      <c r="F842" t="s">
        <v>1313</v>
      </c>
    </row>
    <row r="843" spans="1:6" x14ac:dyDescent="0.25">
      <c r="A843" t="s">
        <v>4017</v>
      </c>
      <c r="C843" t="s">
        <v>2104</v>
      </c>
      <c r="F843" t="s">
        <v>1314</v>
      </c>
    </row>
    <row r="844" spans="1:6" x14ac:dyDescent="0.25">
      <c r="A844" t="s">
        <v>1324</v>
      </c>
      <c r="C844" t="s">
        <v>1104</v>
      </c>
      <c r="F844" t="s">
        <v>1315</v>
      </c>
    </row>
    <row r="845" spans="1:6" x14ac:dyDescent="0.25">
      <c r="A845" t="s">
        <v>13</v>
      </c>
      <c r="C845" t="s">
        <v>3392</v>
      </c>
      <c r="F845" t="s">
        <v>1316</v>
      </c>
    </row>
    <row r="846" spans="1:6" x14ac:dyDescent="0.25">
      <c r="A846" t="s">
        <v>4018</v>
      </c>
      <c r="C846" t="s">
        <v>3393</v>
      </c>
      <c r="F846" t="s">
        <v>1317</v>
      </c>
    </row>
    <row r="847" spans="1:6" x14ac:dyDescent="0.25">
      <c r="A847" t="s">
        <v>4019</v>
      </c>
      <c r="C847" t="s">
        <v>3394</v>
      </c>
      <c r="F847" t="s">
        <v>1318</v>
      </c>
    </row>
    <row r="848" spans="1:6" x14ac:dyDescent="0.25">
      <c r="A848" t="s">
        <v>4020</v>
      </c>
      <c r="C848" t="s">
        <v>3395</v>
      </c>
      <c r="F848" t="s">
        <v>1319</v>
      </c>
    </row>
    <row r="849" spans="1:6" x14ac:dyDescent="0.25">
      <c r="A849" t="s">
        <v>4021</v>
      </c>
      <c r="C849" t="s">
        <v>3396</v>
      </c>
      <c r="F849" t="s">
        <v>26</v>
      </c>
    </row>
    <row r="850" spans="1:6" x14ac:dyDescent="0.25">
      <c r="A850" t="s">
        <v>4022</v>
      </c>
      <c r="C850" t="s">
        <v>3397</v>
      </c>
      <c r="F850" t="s">
        <v>1320</v>
      </c>
    </row>
    <row r="851" spans="1:6" x14ac:dyDescent="0.25">
      <c r="A851" t="s">
        <v>2173</v>
      </c>
      <c r="C851" t="s">
        <v>3398</v>
      </c>
      <c r="F851" t="s">
        <v>1321</v>
      </c>
    </row>
    <row r="852" spans="1:6" x14ac:dyDescent="0.25">
      <c r="A852" t="s">
        <v>4023</v>
      </c>
      <c r="C852" t="s">
        <v>3399</v>
      </c>
      <c r="F852" t="s">
        <v>1322</v>
      </c>
    </row>
    <row r="853" spans="1:6" x14ac:dyDescent="0.25">
      <c r="A853" t="s">
        <v>4024</v>
      </c>
      <c r="C853" t="s">
        <v>3400</v>
      </c>
      <c r="F853" t="s">
        <v>1323</v>
      </c>
    </row>
    <row r="854" spans="1:6" x14ac:dyDescent="0.25">
      <c r="A854" t="s">
        <v>1143</v>
      </c>
      <c r="C854" t="s">
        <v>3401</v>
      </c>
      <c r="F854" t="s">
        <v>1324</v>
      </c>
    </row>
    <row r="855" spans="1:6" x14ac:dyDescent="0.25">
      <c r="A855" t="s">
        <v>1338</v>
      </c>
      <c r="C855" t="s">
        <v>3402</v>
      </c>
      <c r="F855" t="s">
        <v>1325</v>
      </c>
    </row>
    <row r="856" spans="1:6" x14ac:dyDescent="0.25">
      <c r="A856" t="s">
        <v>4025</v>
      </c>
      <c r="C856" t="s">
        <v>3403</v>
      </c>
      <c r="F856" t="s">
        <v>1326</v>
      </c>
    </row>
    <row r="857" spans="1:6" x14ac:dyDescent="0.25">
      <c r="A857" t="s">
        <v>4026</v>
      </c>
      <c r="C857" t="s">
        <v>1155</v>
      </c>
      <c r="F857" t="s">
        <v>1327</v>
      </c>
    </row>
    <row r="858" spans="1:6" x14ac:dyDescent="0.25">
      <c r="A858" t="s">
        <v>1781</v>
      </c>
      <c r="C858" t="s">
        <v>3404</v>
      </c>
      <c r="F858" t="s">
        <v>1328</v>
      </c>
    </row>
    <row r="859" spans="1:6" x14ac:dyDescent="0.25">
      <c r="A859" t="s">
        <v>4027</v>
      </c>
      <c r="C859" t="s">
        <v>3405</v>
      </c>
      <c r="F859" t="s">
        <v>1329</v>
      </c>
    </row>
    <row r="860" spans="1:6" x14ac:dyDescent="0.25">
      <c r="A860" t="s">
        <v>4028</v>
      </c>
      <c r="C860" t="s">
        <v>3406</v>
      </c>
      <c r="F860" t="s">
        <v>1330</v>
      </c>
    </row>
    <row r="861" spans="1:6" x14ac:dyDescent="0.25">
      <c r="A861" t="s">
        <v>4029</v>
      </c>
      <c r="C861" t="s">
        <v>3407</v>
      </c>
      <c r="F861" t="s">
        <v>1331</v>
      </c>
    </row>
    <row r="862" spans="1:6" x14ac:dyDescent="0.25">
      <c r="A862" t="s">
        <v>4030</v>
      </c>
      <c r="C862" t="s">
        <v>3408</v>
      </c>
      <c r="F862" t="s">
        <v>1332</v>
      </c>
    </row>
    <row r="863" spans="1:6" x14ac:dyDescent="0.25">
      <c r="A863" t="s">
        <v>4031</v>
      </c>
      <c r="C863" t="s">
        <v>3409</v>
      </c>
      <c r="F863" t="s">
        <v>1333</v>
      </c>
    </row>
    <row r="864" spans="1:6" x14ac:dyDescent="0.25">
      <c r="A864" t="s">
        <v>4032</v>
      </c>
      <c r="C864" t="s">
        <v>3410</v>
      </c>
      <c r="F864" t="s">
        <v>1334</v>
      </c>
    </row>
    <row r="865" spans="1:6" x14ac:dyDescent="0.25">
      <c r="A865" t="s">
        <v>1637</v>
      </c>
      <c r="C865" t="s">
        <v>3411</v>
      </c>
      <c r="F865" t="s">
        <v>183</v>
      </c>
    </row>
    <row r="866" spans="1:6" x14ac:dyDescent="0.25">
      <c r="A866" t="s">
        <v>43</v>
      </c>
      <c r="C866" t="s">
        <v>1020</v>
      </c>
      <c r="F866" t="s">
        <v>1335</v>
      </c>
    </row>
    <row r="867" spans="1:6" x14ac:dyDescent="0.25">
      <c r="A867" t="s">
        <v>4033</v>
      </c>
      <c r="C867" t="s">
        <v>3412</v>
      </c>
      <c r="F867" t="s">
        <v>1336</v>
      </c>
    </row>
    <row r="868" spans="1:6" x14ac:dyDescent="0.25">
      <c r="A868" t="s">
        <v>4034</v>
      </c>
      <c r="C868" t="s">
        <v>3413</v>
      </c>
      <c r="F868" t="s">
        <v>1337</v>
      </c>
    </row>
    <row r="869" spans="1:6" x14ac:dyDescent="0.25">
      <c r="A869" t="s">
        <v>4035</v>
      </c>
      <c r="C869" t="s">
        <v>3414</v>
      </c>
      <c r="F869" t="s">
        <v>1338</v>
      </c>
    </row>
    <row r="870" spans="1:6" x14ac:dyDescent="0.25">
      <c r="A870" t="s">
        <v>4036</v>
      </c>
      <c r="C870" t="s">
        <v>3415</v>
      </c>
      <c r="F870" t="s">
        <v>1339</v>
      </c>
    </row>
    <row r="871" spans="1:6" x14ac:dyDescent="0.25">
      <c r="A871" t="s">
        <v>4037</v>
      </c>
      <c r="C871" t="s">
        <v>3416</v>
      </c>
      <c r="F871" t="s">
        <v>1340</v>
      </c>
    </row>
    <row r="872" spans="1:6" x14ac:dyDescent="0.25">
      <c r="A872" t="s">
        <v>4038</v>
      </c>
      <c r="C872" t="s">
        <v>1908</v>
      </c>
      <c r="F872" t="s">
        <v>1341</v>
      </c>
    </row>
    <row r="873" spans="1:6" x14ac:dyDescent="0.25">
      <c r="A873" t="s">
        <v>1990</v>
      </c>
      <c r="C873" t="s">
        <v>3417</v>
      </c>
      <c r="F873" t="s">
        <v>1342</v>
      </c>
    </row>
    <row r="874" spans="1:6" x14ac:dyDescent="0.25">
      <c r="A874" t="s">
        <v>4039</v>
      </c>
      <c r="C874" t="s">
        <v>3418</v>
      </c>
      <c r="F874" t="s">
        <v>1343</v>
      </c>
    </row>
    <row r="875" spans="1:6" x14ac:dyDescent="0.25">
      <c r="A875" t="s">
        <v>4040</v>
      </c>
      <c r="C875" t="s">
        <v>3419</v>
      </c>
      <c r="F875" t="s">
        <v>1344</v>
      </c>
    </row>
    <row r="876" spans="1:6" x14ac:dyDescent="0.25">
      <c r="A876" t="s">
        <v>4041</v>
      </c>
      <c r="C876" t="s">
        <v>3420</v>
      </c>
      <c r="F876" t="s">
        <v>1345</v>
      </c>
    </row>
    <row r="877" spans="1:6" x14ac:dyDescent="0.25">
      <c r="A877" t="s">
        <v>233</v>
      </c>
      <c r="C877" t="s">
        <v>3421</v>
      </c>
      <c r="F877" t="s">
        <v>1346</v>
      </c>
    </row>
    <row r="878" spans="1:6" x14ac:dyDescent="0.25">
      <c r="A878" t="s">
        <v>1658</v>
      </c>
      <c r="C878" t="s">
        <v>3422</v>
      </c>
      <c r="F878" t="s">
        <v>1347</v>
      </c>
    </row>
    <row r="879" spans="1:6" x14ac:dyDescent="0.25">
      <c r="A879" t="s">
        <v>4042</v>
      </c>
      <c r="C879" t="s">
        <v>3423</v>
      </c>
      <c r="F879" t="s">
        <v>1348</v>
      </c>
    </row>
    <row r="880" spans="1:6" x14ac:dyDescent="0.25">
      <c r="A880" t="s">
        <v>4043</v>
      </c>
      <c r="C880" t="s">
        <v>3424</v>
      </c>
      <c r="F880" t="s">
        <v>1349</v>
      </c>
    </row>
    <row r="881" spans="1:6" x14ac:dyDescent="0.25">
      <c r="A881" t="s">
        <v>4044</v>
      </c>
      <c r="C881" t="s">
        <v>3425</v>
      </c>
      <c r="F881" t="s">
        <v>1350</v>
      </c>
    </row>
    <row r="882" spans="1:6" x14ac:dyDescent="0.25">
      <c r="A882" t="s">
        <v>4045</v>
      </c>
      <c r="C882" t="s">
        <v>3426</v>
      </c>
      <c r="F882" t="s">
        <v>1351</v>
      </c>
    </row>
    <row r="883" spans="1:6" x14ac:dyDescent="0.25">
      <c r="A883" t="s">
        <v>2571</v>
      </c>
      <c r="C883" t="s">
        <v>3427</v>
      </c>
      <c r="F883" t="s">
        <v>1352</v>
      </c>
    </row>
    <row r="884" spans="1:6" x14ac:dyDescent="0.25">
      <c r="A884" t="s">
        <v>4046</v>
      </c>
      <c r="C884" t="s">
        <v>1023</v>
      </c>
      <c r="F884" t="s">
        <v>1353</v>
      </c>
    </row>
    <row r="885" spans="1:6" x14ac:dyDescent="0.25">
      <c r="A885" t="s">
        <v>4047</v>
      </c>
      <c r="C885" t="s">
        <v>3428</v>
      </c>
      <c r="F885" t="s">
        <v>1354</v>
      </c>
    </row>
    <row r="886" spans="1:6" x14ac:dyDescent="0.25">
      <c r="A886" t="s">
        <v>1574</v>
      </c>
      <c r="C886" t="s">
        <v>3429</v>
      </c>
      <c r="F886" t="s">
        <v>1355</v>
      </c>
    </row>
    <row r="887" spans="1:6" x14ac:dyDescent="0.25">
      <c r="A887" t="s">
        <v>4048</v>
      </c>
      <c r="C887" t="s">
        <v>3430</v>
      </c>
      <c r="F887" t="s">
        <v>1356</v>
      </c>
    </row>
    <row r="888" spans="1:6" x14ac:dyDescent="0.25">
      <c r="A888" t="s">
        <v>4049</v>
      </c>
      <c r="C888" t="s">
        <v>3431</v>
      </c>
      <c r="F888" t="s">
        <v>1357</v>
      </c>
    </row>
    <row r="889" spans="1:6" x14ac:dyDescent="0.25">
      <c r="A889" t="s">
        <v>10</v>
      </c>
      <c r="C889" t="s">
        <v>3432</v>
      </c>
      <c r="F889" t="s">
        <v>1358</v>
      </c>
    </row>
    <row r="890" spans="1:6" x14ac:dyDescent="0.25">
      <c r="A890" t="s">
        <v>4050</v>
      </c>
      <c r="C890" t="s">
        <v>3433</v>
      </c>
      <c r="F890" t="s">
        <v>1359</v>
      </c>
    </row>
    <row r="891" spans="1:6" x14ac:dyDescent="0.25">
      <c r="A891" t="s">
        <v>4051</v>
      </c>
      <c r="C891" t="s">
        <v>3434</v>
      </c>
      <c r="F891" t="s">
        <v>1360</v>
      </c>
    </row>
    <row r="892" spans="1:6" x14ac:dyDescent="0.25">
      <c r="A892" t="s">
        <v>4052</v>
      </c>
      <c r="C892" t="s">
        <v>3435</v>
      </c>
      <c r="F892" t="s">
        <v>1361</v>
      </c>
    </row>
    <row r="893" spans="1:6" x14ac:dyDescent="0.25">
      <c r="A893" t="s">
        <v>4053</v>
      </c>
      <c r="C893" t="s">
        <v>3436</v>
      </c>
      <c r="F893" t="s">
        <v>1362</v>
      </c>
    </row>
    <row r="894" spans="1:6" x14ac:dyDescent="0.25">
      <c r="A894" t="s">
        <v>342</v>
      </c>
      <c r="C894" t="s">
        <v>3437</v>
      </c>
      <c r="F894" t="s">
        <v>1363</v>
      </c>
    </row>
    <row r="895" spans="1:6" x14ac:dyDescent="0.25">
      <c r="A895" t="s">
        <v>4054</v>
      </c>
      <c r="C895" t="s">
        <v>3438</v>
      </c>
      <c r="F895" t="s">
        <v>170</v>
      </c>
    </row>
    <row r="896" spans="1:6" x14ac:dyDescent="0.25">
      <c r="A896" t="s">
        <v>4055</v>
      </c>
      <c r="C896" t="s">
        <v>3439</v>
      </c>
      <c r="F896" t="s">
        <v>1364</v>
      </c>
    </row>
    <row r="897" spans="1:6" x14ac:dyDescent="0.25">
      <c r="A897" t="s">
        <v>2681</v>
      </c>
      <c r="C897" t="s">
        <v>3440</v>
      </c>
      <c r="F897" t="s">
        <v>1365</v>
      </c>
    </row>
    <row r="898" spans="1:6" x14ac:dyDescent="0.25">
      <c r="A898" t="s">
        <v>4056</v>
      </c>
      <c r="C898" t="s">
        <v>3441</v>
      </c>
      <c r="F898" t="s">
        <v>1366</v>
      </c>
    </row>
    <row r="899" spans="1:6" x14ac:dyDescent="0.25">
      <c r="A899" t="s">
        <v>751</v>
      </c>
      <c r="C899" t="s">
        <v>3442</v>
      </c>
      <c r="F899" t="s">
        <v>1367</v>
      </c>
    </row>
    <row r="900" spans="1:6" x14ac:dyDescent="0.25">
      <c r="A900" t="s">
        <v>4057</v>
      </c>
      <c r="C900" t="s">
        <v>3443</v>
      </c>
      <c r="F900" t="s">
        <v>1368</v>
      </c>
    </row>
    <row r="901" spans="1:6" x14ac:dyDescent="0.25">
      <c r="A901" t="s">
        <v>4058</v>
      </c>
      <c r="C901" t="s">
        <v>3444</v>
      </c>
      <c r="F901" t="s">
        <v>1369</v>
      </c>
    </row>
    <row r="902" spans="1:6" x14ac:dyDescent="0.25">
      <c r="A902" t="s">
        <v>4059</v>
      </c>
      <c r="C902" t="s">
        <v>3445</v>
      </c>
      <c r="F902" t="s">
        <v>1370</v>
      </c>
    </row>
    <row r="903" spans="1:6" x14ac:dyDescent="0.25">
      <c r="A903" t="s">
        <v>4060</v>
      </c>
      <c r="C903" t="s">
        <v>3446</v>
      </c>
      <c r="F903" t="s">
        <v>1371</v>
      </c>
    </row>
    <row r="904" spans="1:6" x14ac:dyDescent="0.25">
      <c r="A904" t="s">
        <v>1359</v>
      </c>
      <c r="C904" t="s">
        <v>3447</v>
      </c>
      <c r="F904" t="s">
        <v>1372</v>
      </c>
    </row>
    <row r="905" spans="1:6" x14ac:dyDescent="0.25">
      <c r="A905" t="s">
        <v>4061</v>
      </c>
      <c r="C905" t="s">
        <v>3448</v>
      </c>
      <c r="F905" t="s">
        <v>1373</v>
      </c>
    </row>
    <row r="906" spans="1:6" x14ac:dyDescent="0.25">
      <c r="A906" t="s">
        <v>4062</v>
      </c>
      <c r="C906" t="s">
        <v>3449</v>
      </c>
      <c r="F906" t="s">
        <v>1374</v>
      </c>
    </row>
    <row r="907" spans="1:6" x14ac:dyDescent="0.25">
      <c r="A907" t="s">
        <v>4063</v>
      </c>
      <c r="C907" t="s">
        <v>3450</v>
      </c>
      <c r="F907" t="s">
        <v>1375</v>
      </c>
    </row>
    <row r="908" spans="1:6" x14ac:dyDescent="0.25">
      <c r="A908" t="s">
        <v>4064</v>
      </c>
      <c r="C908" t="s">
        <v>3451</v>
      </c>
      <c r="F908" t="s">
        <v>1376</v>
      </c>
    </row>
    <row r="909" spans="1:6" x14ac:dyDescent="0.25">
      <c r="A909" t="s">
        <v>4065</v>
      </c>
      <c r="C909" t="s">
        <v>3452</v>
      </c>
      <c r="F909" t="s">
        <v>1377</v>
      </c>
    </row>
    <row r="910" spans="1:6" x14ac:dyDescent="0.25">
      <c r="A910" t="s">
        <v>224</v>
      </c>
      <c r="C910" t="s">
        <v>3453</v>
      </c>
      <c r="F910" t="s">
        <v>1378</v>
      </c>
    </row>
    <row r="911" spans="1:6" x14ac:dyDescent="0.25">
      <c r="A911" t="s">
        <v>4066</v>
      </c>
      <c r="C911" t="s">
        <v>3454</v>
      </c>
      <c r="F911" t="s">
        <v>1379</v>
      </c>
    </row>
    <row r="912" spans="1:6" x14ac:dyDescent="0.25">
      <c r="A912" t="s">
        <v>4067</v>
      </c>
      <c r="C912" t="s">
        <v>3455</v>
      </c>
      <c r="F912" t="s">
        <v>1380</v>
      </c>
    </row>
    <row r="913" spans="1:6" x14ac:dyDescent="0.25">
      <c r="A913" t="s">
        <v>4068</v>
      </c>
      <c r="C913" t="s">
        <v>3456</v>
      </c>
      <c r="F913" t="s">
        <v>1381</v>
      </c>
    </row>
    <row r="914" spans="1:6" x14ac:dyDescent="0.25">
      <c r="A914" t="s">
        <v>4069</v>
      </c>
      <c r="C914" t="s">
        <v>3457</v>
      </c>
      <c r="F914" t="s">
        <v>1382</v>
      </c>
    </row>
    <row r="915" spans="1:6" x14ac:dyDescent="0.25">
      <c r="A915" t="s">
        <v>4070</v>
      </c>
      <c r="C915" t="s">
        <v>3458</v>
      </c>
      <c r="F915" t="s">
        <v>1383</v>
      </c>
    </row>
    <row r="916" spans="1:6" x14ac:dyDescent="0.25">
      <c r="A916" t="s">
        <v>4071</v>
      </c>
      <c r="C916" t="s">
        <v>3459</v>
      </c>
      <c r="F916" t="s">
        <v>1384</v>
      </c>
    </row>
    <row r="917" spans="1:6" x14ac:dyDescent="0.25">
      <c r="A917" t="s">
        <v>4072</v>
      </c>
      <c r="C917" t="s">
        <v>3460</v>
      </c>
      <c r="F917" t="s">
        <v>1385</v>
      </c>
    </row>
    <row r="918" spans="1:6" x14ac:dyDescent="0.25">
      <c r="A918" t="s">
        <v>4073</v>
      </c>
      <c r="C918" t="s">
        <v>3461</v>
      </c>
      <c r="F918" t="s">
        <v>1386</v>
      </c>
    </row>
    <row r="919" spans="1:6" x14ac:dyDescent="0.25">
      <c r="A919" t="s">
        <v>102</v>
      </c>
      <c r="C919" t="s">
        <v>3462</v>
      </c>
      <c r="F919" t="s">
        <v>1387</v>
      </c>
    </row>
    <row r="920" spans="1:6" x14ac:dyDescent="0.25">
      <c r="A920" t="s">
        <v>4074</v>
      </c>
      <c r="C920" t="s">
        <v>3463</v>
      </c>
      <c r="F920" t="s">
        <v>18</v>
      </c>
    </row>
    <row r="921" spans="1:6" x14ac:dyDescent="0.25">
      <c r="A921" t="s">
        <v>2361</v>
      </c>
      <c r="C921" t="s">
        <v>2282</v>
      </c>
      <c r="F921" t="s">
        <v>1388</v>
      </c>
    </row>
    <row r="922" spans="1:6" x14ac:dyDescent="0.25">
      <c r="A922" t="s">
        <v>4075</v>
      </c>
      <c r="C922" t="s">
        <v>3464</v>
      </c>
      <c r="F922" t="s">
        <v>1389</v>
      </c>
    </row>
    <row r="923" spans="1:6" x14ac:dyDescent="0.25">
      <c r="A923" t="s">
        <v>4076</v>
      </c>
      <c r="C923" t="s">
        <v>3465</v>
      </c>
      <c r="F923" t="s">
        <v>1390</v>
      </c>
    </row>
    <row r="924" spans="1:6" x14ac:dyDescent="0.25">
      <c r="A924" t="s">
        <v>4077</v>
      </c>
      <c r="C924" t="s">
        <v>3466</v>
      </c>
      <c r="F924" t="s">
        <v>106</v>
      </c>
    </row>
    <row r="925" spans="1:6" x14ac:dyDescent="0.25">
      <c r="A925" t="s">
        <v>411</v>
      </c>
      <c r="C925" t="s">
        <v>3467</v>
      </c>
      <c r="F925" t="s">
        <v>1391</v>
      </c>
    </row>
    <row r="926" spans="1:6" x14ac:dyDescent="0.25">
      <c r="A926" t="s">
        <v>1857</v>
      </c>
      <c r="C926" t="s">
        <v>3468</v>
      </c>
      <c r="F926" t="s">
        <v>30</v>
      </c>
    </row>
    <row r="927" spans="1:6" x14ac:dyDescent="0.25">
      <c r="A927" t="s">
        <v>4078</v>
      </c>
      <c r="C927" t="s">
        <v>3469</v>
      </c>
      <c r="F927" t="s">
        <v>1392</v>
      </c>
    </row>
    <row r="928" spans="1:6" x14ac:dyDescent="0.25">
      <c r="A928" t="s">
        <v>4079</v>
      </c>
      <c r="C928" t="s">
        <v>3470</v>
      </c>
      <c r="F928" t="s">
        <v>143</v>
      </c>
    </row>
    <row r="929" spans="1:6" x14ac:dyDescent="0.25">
      <c r="A929" t="s">
        <v>4080</v>
      </c>
      <c r="C929" t="s">
        <v>3471</v>
      </c>
      <c r="F929" t="s">
        <v>196</v>
      </c>
    </row>
    <row r="930" spans="1:6" x14ac:dyDescent="0.25">
      <c r="A930" t="s">
        <v>4081</v>
      </c>
      <c r="C930" t="s">
        <v>3472</v>
      </c>
      <c r="F930" t="s">
        <v>1393</v>
      </c>
    </row>
    <row r="931" spans="1:6" x14ac:dyDescent="0.25">
      <c r="A931" t="s">
        <v>4082</v>
      </c>
      <c r="C931" t="s">
        <v>3473</v>
      </c>
      <c r="F931" t="s">
        <v>1394</v>
      </c>
    </row>
    <row r="932" spans="1:6" x14ac:dyDescent="0.25">
      <c r="A932" t="s">
        <v>4083</v>
      </c>
      <c r="C932" t="s">
        <v>3474</v>
      </c>
      <c r="F932" t="s">
        <v>1395</v>
      </c>
    </row>
    <row r="933" spans="1:6" x14ac:dyDescent="0.25">
      <c r="A933" t="s">
        <v>4084</v>
      </c>
      <c r="C933" t="s">
        <v>3475</v>
      </c>
      <c r="F933" t="s">
        <v>1396</v>
      </c>
    </row>
    <row r="934" spans="1:6" x14ac:dyDescent="0.25">
      <c r="A934" t="s">
        <v>4085</v>
      </c>
      <c r="C934" t="s">
        <v>960</v>
      </c>
      <c r="F934" t="s">
        <v>1397</v>
      </c>
    </row>
    <row r="935" spans="1:6" x14ac:dyDescent="0.25">
      <c r="A935" t="s">
        <v>4086</v>
      </c>
      <c r="C935" t="s">
        <v>3476</v>
      </c>
      <c r="F935" t="s">
        <v>1398</v>
      </c>
    </row>
    <row r="936" spans="1:6" x14ac:dyDescent="0.25">
      <c r="A936" t="s">
        <v>4087</v>
      </c>
      <c r="C936" t="s">
        <v>3477</v>
      </c>
      <c r="F936" t="s">
        <v>1399</v>
      </c>
    </row>
    <row r="937" spans="1:6" x14ac:dyDescent="0.25">
      <c r="A937" t="s">
        <v>221</v>
      </c>
      <c r="C937" t="s">
        <v>3478</v>
      </c>
      <c r="F937" t="s">
        <v>1400</v>
      </c>
    </row>
    <row r="938" spans="1:6" x14ac:dyDescent="0.25">
      <c r="A938" t="s">
        <v>4088</v>
      </c>
      <c r="C938" t="s">
        <v>3479</v>
      </c>
      <c r="F938" t="s">
        <v>1401</v>
      </c>
    </row>
    <row r="939" spans="1:6" x14ac:dyDescent="0.25">
      <c r="A939" t="s">
        <v>4089</v>
      </c>
      <c r="C939" t="s">
        <v>3480</v>
      </c>
      <c r="F939" t="s">
        <v>1402</v>
      </c>
    </row>
    <row r="940" spans="1:6" x14ac:dyDescent="0.25">
      <c r="A940" t="s">
        <v>4090</v>
      </c>
      <c r="C940" t="s">
        <v>3481</v>
      </c>
      <c r="F940" t="s">
        <v>1403</v>
      </c>
    </row>
    <row r="941" spans="1:6" x14ac:dyDescent="0.25">
      <c r="A941" t="s">
        <v>4091</v>
      </c>
      <c r="C941" t="s">
        <v>3482</v>
      </c>
      <c r="F941" t="s">
        <v>1404</v>
      </c>
    </row>
    <row r="942" spans="1:6" x14ac:dyDescent="0.25">
      <c r="A942" t="s">
        <v>4092</v>
      </c>
      <c r="C942" t="s">
        <v>3483</v>
      </c>
      <c r="F942" t="s">
        <v>58</v>
      </c>
    </row>
    <row r="943" spans="1:6" x14ac:dyDescent="0.25">
      <c r="A943" t="s">
        <v>4093</v>
      </c>
      <c r="C943" t="s">
        <v>3484</v>
      </c>
      <c r="F943" t="s">
        <v>1405</v>
      </c>
    </row>
    <row r="944" spans="1:6" x14ac:dyDescent="0.25">
      <c r="A944" t="s">
        <v>4094</v>
      </c>
      <c r="C944" t="s">
        <v>3485</v>
      </c>
      <c r="F944" t="s">
        <v>1406</v>
      </c>
    </row>
    <row r="945" spans="1:6" x14ac:dyDescent="0.25">
      <c r="A945" t="s">
        <v>4095</v>
      </c>
      <c r="C945" t="s">
        <v>3486</v>
      </c>
      <c r="F945" t="s">
        <v>1407</v>
      </c>
    </row>
    <row r="946" spans="1:6" x14ac:dyDescent="0.25">
      <c r="A946" t="s">
        <v>4096</v>
      </c>
      <c r="C946" t="s">
        <v>3487</v>
      </c>
      <c r="F946" t="s">
        <v>8</v>
      </c>
    </row>
    <row r="947" spans="1:6" x14ac:dyDescent="0.25">
      <c r="A947" t="s">
        <v>1452</v>
      </c>
      <c r="C947" t="s">
        <v>865</v>
      </c>
      <c r="F947" t="s">
        <v>1408</v>
      </c>
    </row>
    <row r="948" spans="1:6" x14ac:dyDescent="0.25">
      <c r="A948" t="s">
        <v>1229</v>
      </c>
      <c r="C948" t="s">
        <v>3488</v>
      </c>
      <c r="F948" t="s">
        <v>1409</v>
      </c>
    </row>
    <row r="949" spans="1:6" x14ac:dyDescent="0.25">
      <c r="A949" t="s">
        <v>4097</v>
      </c>
      <c r="C949" t="s">
        <v>3489</v>
      </c>
      <c r="F949" t="s">
        <v>1410</v>
      </c>
    </row>
    <row r="950" spans="1:6" x14ac:dyDescent="0.25">
      <c r="A950" t="s">
        <v>4098</v>
      </c>
      <c r="C950" t="s">
        <v>3490</v>
      </c>
      <c r="F950" t="s">
        <v>1411</v>
      </c>
    </row>
    <row r="951" spans="1:6" x14ac:dyDescent="0.25">
      <c r="A951" t="s">
        <v>4099</v>
      </c>
      <c r="C951" t="s">
        <v>2720</v>
      </c>
      <c r="F951" t="s">
        <v>1412</v>
      </c>
    </row>
    <row r="952" spans="1:6" x14ac:dyDescent="0.25">
      <c r="A952" t="s">
        <v>212</v>
      </c>
      <c r="C952" t="s">
        <v>3491</v>
      </c>
      <c r="F952" t="s">
        <v>1413</v>
      </c>
    </row>
    <row r="953" spans="1:6" x14ac:dyDescent="0.25">
      <c r="A953" t="s">
        <v>1796</v>
      </c>
      <c r="C953" t="s">
        <v>3492</v>
      </c>
      <c r="F953" t="s">
        <v>1414</v>
      </c>
    </row>
    <row r="954" spans="1:6" x14ac:dyDescent="0.25">
      <c r="A954" t="s">
        <v>1071</v>
      </c>
      <c r="C954" t="s">
        <v>3493</v>
      </c>
      <c r="F954" t="s">
        <v>1415</v>
      </c>
    </row>
    <row r="955" spans="1:6" x14ac:dyDescent="0.25">
      <c r="A955" t="s">
        <v>2743</v>
      </c>
      <c r="C955" t="s">
        <v>3494</v>
      </c>
      <c r="F955" t="s">
        <v>1416</v>
      </c>
    </row>
    <row r="956" spans="1:6" x14ac:dyDescent="0.25">
      <c r="A956" t="s">
        <v>27</v>
      </c>
      <c r="C956" t="s">
        <v>3495</v>
      </c>
      <c r="F956" t="s">
        <v>1417</v>
      </c>
    </row>
    <row r="957" spans="1:6" x14ac:dyDescent="0.25">
      <c r="A957" t="s">
        <v>4100</v>
      </c>
      <c r="C957" t="s">
        <v>3496</v>
      </c>
      <c r="F957" t="s">
        <v>1418</v>
      </c>
    </row>
    <row r="958" spans="1:6" x14ac:dyDescent="0.25">
      <c r="A958" t="s">
        <v>4101</v>
      </c>
      <c r="C958" t="s">
        <v>164</v>
      </c>
      <c r="F958" t="s">
        <v>1419</v>
      </c>
    </row>
    <row r="959" spans="1:6" x14ac:dyDescent="0.25">
      <c r="A959" t="s">
        <v>4102</v>
      </c>
      <c r="C959" t="s">
        <v>3497</v>
      </c>
      <c r="F959" t="s">
        <v>1420</v>
      </c>
    </row>
    <row r="960" spans="1:6" x14ac:dyDescent="0.25">
      <c r="A960" t="s">
        <v>4103</v>
      </c>
      <c r="C960" t="s">
        <v>3498</v>
      </c>
      <c r="F960" t="s">
        <v>1421</v>
      </c>
    </row>
    <row r="961" spans="1:6" x14ac:dyDescent="0.25">
      <c r="A961" t="s">
        <v>4103</v>
      </c>
      <c r="C961" t="s">
        <v>3499</v>
      </c>
      <c r="F961" t="s">
        <v>1422</v>
      </c>
    </row>
    <row r="962" spans="1:6" x14ac:dyDescent="0.25">
      <c r="A962" t="s">
        <v>4103</v>
      </c>
      <c r="C962" t="s">
        <v>3500</v>
      </c>
      <c r="F962" t="s">
        <v>1423</v>
      </c>
    </row>
    <row r="963" spans="1:6" x14ac:dyDescent="0.25">
      <c r="A963" t="s">
        <v>4103</v>
      </c>
      <c r="C963" t="s">
        <v>3501</v>
      </c>
      <c r="F963" t="s">
        <v>1424</v>
      </c>
    </row>
    <row r="964" spans="1:6" x14ac:dyDescent="0.25">
      <c r="A964" t="s">
        <v>4103</v>
      </c>
      <c r="C964" t="s">
        <v>3502</v>
      </c>
      <c r="F964" t="s">
        <v>1425</v>
      </c>
    </row>
    <row r="965" spans="1:6" x14ac:dyDescent="0.25">
      <c r="A965" t="s">
        <v>4103</v>
      </c>
      <c r="C965" t="s">
        <v>3503</v>
      </c>
      <c r="F965" t="s">
        <v>882</v>
      </c>
    </row>
    <row r="966" spans="1:6" x14ac:dyDescent="0.25">
      <c r="A966" t="s">
        <v>4103</v>
      </c>
      <c r="C966" t="s">
        <v>3504</v>
      </c>
      <c r="F966" t="s">
        <v>1426</v>
      </c>
    </row>
    <row r="967" spans="1:6" x14ac:dyDescent="0.25">
      <c r="A967" t="s">
        <v>4103</v>
      </c>
      <c r="C967" t="s">
        <v>3505</v>
      </c>
      <c r="F967" t="s">
        <v>1427</v>
      </c>
    </row>
    <row r="968" spans="1:6" x14ac:dyDescent="0.25">
      <c r="A968" t="s">
        <v>4103</v>
      </c>
      <c r="C968" t="s">
        <v>3506</v>
      </c>
      <c r="F968" t="s">
        <v>1428</v>
      </c>
    </row>
    <row r="969" spans="1:6" x14ac:dyDescent="0.25">
      <c r="A969" t="s">
        <v>4103</v>
      </c>
      <c r="C969" t="s">
        <v>3507</v>
      </c>
      <c r="F969" t="s">
        <v>1429</v>
      </c>
    </row>
    <row r="970" spans="1:6" x14ac:dyDescent="0.25">
      <c r="A970" t="s">
        <v>4103</v>
      </c>
      <c r="C970" t="s">
        <v>3508</v>
      </c>
      <c r="F970" t="s">
        <v>1430</v>
      </c>
    </row>
    <row r="971" spans="1:6" x14ac:dyDescent="0.25">
      <c r="A971" t="s">
        <v>4103</v>
      </c>
      <c r="C971" t="s">
        <v>3509</v>
      </c>
      <c r="F971" t="s">
        <v>1020</v>
      </c>
    </row>
    <row r="972" spans="1:6" x14ac:dyDescent="0.25">
      <c r="A972" t="s">
        <v>4103</v>
      </c>
      <c r="C972" t="s">
        <v>1581</v>
      </c>
      <c r="F972" t="s">
        <v>1431</v>
      </c>
    </row>
    <row r="973" spans="1:6" x14ac:dyDescent="0.25">
      <c r="A973" t="s">
        <v>4103</v>
      </c>
      <c r="C973" t="s">
        <v>3510</v>
      </c>
      <c r="F973" t="s">
        <v>1432</v>
      </c>
    </row>
    <row r="974" spans="1:6" x14ac:dyDescent="0.25">
      <c r="A974" t="s">
        <v>4103</v>
      </c>
      <c r="C974" t="s">
        <v>3511</v>
      </c>
      <c r="F974" t="s">
        <v>1433</v>
      </c>
    </row>
    <row r="975" spans="1:6" x14ac:dyDescent="0.25">
      <c r="A975" t="s">
        <v>4103</v>
      </c>
      <c r="C975" t="s">
        <v>3512</v>
      </c>
      <c r="F975" t="s">
        <v>1434</v>
      </c>
    </row>
    <row r="976" spans="1:6" x14ac:dyDescent="0.25">
      <c r="A976" t="s">
        <v>4103</v>
      </c>
      <c r="C976" t="s">
        <v>864</v>
      </c>
      <c r="F976" t="s">
        <v>1435</v>
      </c>
    </row>
    <row r="977" spans="1:6" x14ac:dyDescent="0.25">
      <c r="A977" t="s">
        <v>4103</v>
      </c>
      <c r="C977" t="s">
        <v>3513</v>
      </c>
      <c r="F977" t="s">
        <v>1436</v>
      </c>
    </row>
    <row r="978" spans="1:6" x14ac:dyDescent="0.25">
      <c r="A978" t="s">
        <v>4103</v>
      </c>
      <c r="C978" t="s">
        <v>2005</v>
      </c>
      <c r="F978" t="s">
        <v>1437</v>
      </c>
    </row>
    <row r="979" spans="1:6" x14ac:dyDescent="0.25">
      <c r="A979" t="s">
        <v>4103</v>
      </c>
      <c r="C979" t="s">
        <v>3514</v>
      </c>
      <c r="F979" t="s">
        <v>1438</v>
      </c>
    </row>
    <row r="980" spans="1:6" x14ac:dyDescent="0.25">
      <c r="A980" t="s">
        <v>4103</v>
      </c>
      <c r="C980" t="s">
        <v>3515</v>
      </c>
      <c r="F980" t="s">
        <v>1439</v>
      </c>
    </row>
    <row r="981" spans="1:6" x14ac:dyDescent="0.25">
      <c r="A981" t="s">
        <v>4103</v>
      </c>
      <c r="C981" t="s">
        <v>3516</v>
      </c>
      <c r="F981" t="s">
        <v>1440</v>
      </c>
    </row>
    <row r="982" spans="1:6" x14ac:dyDescent="0.25">
      <c r="A982" t="s">
        <v>4103</v>
      </c>
      <c r="C982" t="s">
        <v>3517</v>
      </c>
      <c r="F982" t="s">
        <v>1441</v>
      </c>
    </row>
    <row r="983" spans="1:6" x14ac:dyDescent="0.25">
      <c r="A983" t="s">
        <v>4103</v>
      </c>
      <c r="C983" t="s">
        <v>3518</v>
      </c>
      <c r="F983" t="s">
        <v>1442</v>
      </c>
    </row>
    <row r="984" spans="1:6" x14ac:dyDescent="0.25">
      <c r="A984" t="s">
        <v>4103</v>
      </c>
      <c r="C984" t="s">
        <v>3519</v>
      </c>
      <c r="F984" t="s">
        <v>1443</v>
      </c>
    </row>
    <row r="985" spans="1:6" x14ac:dyDescent="0.25">
      <c r="A985" t="s">
        <v>4103</v>
      </c>
      <c r="C985" t="s">
        <v>3520</v>
      </c>
      <c r="F985" t="s">
        <v>1444</v>
      </c>
    </row>
    <row r="986" spans="1:6" x14ac:dyDescent="0.25">
      <c r="A986" t="s">
        <v>4103</v>
      </c>
      <c r="C986" t="s">
        <v>3521</v>
      </c>
      <c r="F986" t="s">
        <v>57</v>
      </c>
    </row>
    <row r="987" spans="1:6" x14ac:dyDescent="0.25">
      <c r="A987" t="s">
        <v>4103</v>
      </c>
      <c r="C987" t="s">
        <v>3522</v>
      </c>
      <c r="F987" t="s">
        <v>1445</v>
      </c>
    </row>
    <row r="988" spans="1:6" x14ac:dyDescent="0.25">
      <c r="A988" t="s">
        <v>4103</v>
      </c>
      <c r="C988" t="s">
        <v>3523</v>
      </c>
      <c r="F988" t="s">
        <v>1446</v>
      </c>
    </row>
    <row r="989" spans="1:6" x14ac:dyDescent="0.25">
      <c r="A989" t="s">
        <v>4103</v>
      </c>
      <c r="C989" t="s">
        <v>3524</v>
      </c>
      <c r="F989" t="s">
        <v>1447</v>
      </c>
    </row>
    <row r="990" spans="1:6" x14ac:dyDescent="0.25">
      <c r="A990" t="s">
        <v>4103</v>
      </c>
      <c r="C990" t="s">
        <v>3525</v>
      </c>
      <c r="F990" t="s">
        <v>1448</v>
      </c>
    </row>
    <row r="991" spans="1:6" x14ac:dyDescent="0.25">
      <c r="A991" t="s">
        <v>4103</v>
      </c>
      <c r="C991" t="s">
        <v>3526</v>
      </c>
      <c r="F991" t="s">
        <v>1449</v>
      </c>
    </row>
    <row r="992" spans="1:6" x14ac:dyDescent="0.25">
      <c r="A992" t="s">
        <v>4103</v>
      </c>
      <c r="C992" t="s">
        <v>3527</v>
      </c>
      <c r="F992" t="s">
        <v>1450</v>
      </c>
    </row>
    <row r="993" spans="1:6" x14ac:dyDescent="0.25">
      <c r="A993" t="s">
        <v>4103</v>
      </c>
      <c r="C993" t="s">
        <v>3528</v>
      </c>
      <c r="F993" t="s">
        <v>108</v>
      </c>
    </row>
    <row r="994" spans="1:6" x14ac:dyDescent="0.25">
      <c r="A994" t="s">
        <v>4103</v>
      </c>
      <c r="C994" t="s">
        <v>3529</v>
      </c>
      <c r="F994" t="s">
        <v>1451</v>
      </c>
    </row>
    <row r="995" spans="1:6" x14ac:dyDescent="0.25">
      <c r="A995" t="s">
        <v>4103</v>
      </c>
      <c r="C995" t="s">
        <v>3530</v>
      </c>
      <c r="F995" t="s">
        <v>1452</v>
      </c>
    </row>
    <row r="996" spans="1:6" x14ac:dyDescent="0.25">
      <c r="A996" t="s">
        <v>4103</v>
      </c>
      <c r="C996" t="s">
        <v>3531</v>
      </c>
      <c r="F996" t="s">
        <v>1453</v>
      </c>
    </row>
    <row r="997" spans="1:6" x14ac:dyDescent="0.25">
      <c r="A997" t="s">
        <v>4103</v>
      </c>
      <c r="C997" t="s">
        <v>3532</v>
      </c>
      <c r="F997" t="s">
        <v>1454</v>
      </c>
    </row>
    <row r="998" spans="1:6" x14ac:dyDescent="0.25">
      <c r="A998" t="s">
        <v>4103</v>
      </c>
      <c r="C998" t="s">
        <v>3533</v>
      </c>
      <c r="F998" t="s">
        <v>1455</v>
      </c>
    </row>
    <row r="999" spans="1:6" x14ac:dyDescent="0.25">
      <c r="A999" t="s">
        <v>4103</v>
      </c>
      <c r="C999" t="s">
        <v>1079</v>
      </c>
      <c r="F999" t="s">
        <v>1456</v>
      </c>
    </row>
    <row r="1000" spans="1:6" x14ac:dyDescent="0.25">
      <c r="A1000" t="s">
        <v>4103</v>
      </c>
      <c r="C1000" t="s">
        <v>3534</v>
      </c>
      <c r="F1000" t="s">
        <v>1457</v>
      </c>
    </row>
    <row r="1001" spans="1:6" x14ac:dyDescent="0.25">
      <c r="A1001" t="s">
        <v>4103</v>
      </c>
      <c r="C1001" t="s">
        <v>3535</v>
      </c>
      <c r="F1001" t="s">
        <v>1458</v>
      </c>
    </row>
    <row r="1002" spans="1:6" x14ac:dyDescent="0.25">
      <c r="A1002" t="s">
        <v>4103</v>
      </c>
      <c r="C1002" t="s">
        <v>3536</v>
      </c>
      <c r="F1002" t="s">
        <v>1459</v>
      </c>
    </row>
    <row r="1003" spans="1:6" x14ac:dyDescent="0.25">
      <c r="A1003" t="s">
        <v>4103</v>
      </c>
      <c r="C1003" t="s">
        <v>3537</v>
      </c>
      <c r="F1003" t="s">
        <v>1460</v>
      </c>
    </row>
    <row r="1004" spans="1:6" x14ac:dyDescent="0.25">
      <c r="A1004" t="s">
        <v>4103</v>
      </c>
      <c r="C1004" t="s">
        <v>3538</v>
      </c>
      <c r="F1004" t="s">
        <v>1461</v>
      </c>
    </row>
    <row r="1005" spans="1:6" x14ac:dyDescent="0.25">
      <c r="A1005" t="s">
        <v>4103</v>
      </c>
      <c r="C1005" t="s">
        <v>3539</v>
      </c>
      <c r="F1005" t="s">
        <v>1462</v>
      </c>
    </row>
    <row r="1006" spans="1:6" x14ac:dyDescent="0.25">
      <c r="A1006" t="s">
        <v>4103</v>
      </c>
      <c r="C1006" t="s">
        <v>3540</v>
      </c>
      <c r="F1006" t="s">
        <v>1463</v>
      </c>
    </row>
    <row r="1007" spans="1:6" x14ac:dyDescent="0.25">
      <c r="A1007" t="s">
        <v>4103</v>
      </c>
      <c r="C1007" t="s">
        <v>3541</v>
      </c>
      <c r="F1007" t="s">
        <v>1464</v>
      </c>
    </row>
    <row r="1008" spans="1:6" x14ac:dyDescent="0.25">
      <c r="A1008" t="s">
        <v>4103</v>
      </c>
      <c r="C1008" t="s">
        <v>3542</v>
      </c>
      <c r="F1008" t="s">
        <v>1465</v>
      </c>
    </row>
    <row r="1009" spans="1:6" x14ac:dyDescent="0.25">
      <c r="A1009" t="s">
        <v>4103</v>
      </c>
      <c r="C1009" t="s">
        <v>3543</v>
      </c>
      <c r="F1009" t="s">
        <v>1466</v>
      </c>
    </row>
    <row r="1010" spans="1:6" x14ac:dyDescent="0.25">
      <c r="A1010" t="s">
        <v>4103</v>
      </c>
      <c r="C1010" t="s">
        <v>3544</v>
      </c>
      <c r="F1010" t="s">
        <v>1467</v>
      </c>
    </row>
    <row r="1011" spans="1:6" x14ac:dyDescent="0.25">
      <c r="A1011" t="s">
        <v>4103</v>
      </c>
      <c r="C1011" t="s">
        <v>3545</v>
      </c>
      <c r="F1011" t="s">
        <v>1468</v>
      </c>
    </row>
    <row r="1012" spans="1:6" x14ac:dyDescent="0.25">
      <c r="A1012" t="s">
        <v>4103</v>
      </c>
      <c r="C1012" t="s">
        <v>3546</v>
      </c>
      <c r="F1012" t="s">
        <v>1469</v>
      </c>
    </row>
    <row r="1013" spans="1:6" x14ac:dyDescent="0.25">
      <c r="A1013" t="s">
        <v>4103</v>
      </c>
      <c r="C1013" t="s">
        <v>3547</v>
      </c>
      <c r="F1013" t="s">
        <v>1470</v>
      </c>
    </row>
    <row r="1014" spans="1:6" x14ac:dyDescent="0.25">
      <c r="A1014" t="s">
        <v>4103</v>
      </c>
      <c r="C1014" t="s">
        <v>3548</v>
      </c>
      <c r="F1014" t="s">
        <v>1471</v>
      </c>
    </row>
    <row r="1015" spans="1:6" x14ac:dyDescent="0.25">
      <c r="A1015" t="s">
        <v>4103</v>
      </c>
      <c r="C1015" t="s">
        <v>3549</v>
      </c>
      <c r="F1015" t="s">
        <v>1472</v>
      </c>
    </row>
    <row r="1016" spans="1:6" x14ac:dyDescent="0.25">
      <c r="A1016" t="s">
        <v>4103</v>
      </c>
      <c r="C1016" t="s">
        <v>3550</v>
      </c>
      <c r="F1016" t="s">
        <v>1473</v>
      </c>
    </row>
    <row r="1017" spans="1:6" x14ac:dyDescent="0.25">
      <c r="A1017" t="s">
        <v>4103</v>
      </c>
      <c r="C1017" t="s">
        <v>3551</v>
      </c>
      <c r="F1017" t="s">
        <v>1474</v>
      </c>
    </row>
    <row r="1018" spans="1:6" x14ac:dyDescent="0.25">
      <c r="A1018" t="s">
        <v>4103</v>
      </c>
      <c r="C1018" t="s">
        <v>3552</v>
      </c>
      <c r="F1018" t="s">
        <v>1475</v>
      </c>
    </row>
    <row r="1019" spans="1:6" x14ac:dyDescent="0.25">
      <c r="A1019" t="s">
        <v>4103</v>
      </c>
      <c r="C1019" t="s">
        <v>3553</v>
      </c>
      <c r="F1019" t="s">
        <v>1476</v>
      </c>
    </row>
    <row r="1020" spans="1:6" x14ac:dyDescent="0.25">
      <c r="A1020" t="s">
        <v>4103</v>
      </c>
      <c r="C1020" t="s">
        <v>3554</v>
      </c>
      <c r="F1020" t="s">
        <v>1477</v>
      </c>
    </row>
    <row r="1021" spans="1:6" x14ac:dyDescent="0.25">
      <c r="A1021" t="s">
        <v>4103</v>
      </c>
      <c r="C1021" t="s">
        <v>3555</v>
      </c>
      <c r="F1021" t="s">
        <v>1478</v>
      </c>
    </row>
    <row r="1022" spans="1:6" x14ac:dyDescent="0.25">
      <c r="A1022" t="s">
        <v>4103</v>
      </c>
      <c r="C1022" t="s">
        <v>3556</v>
      </c>
      <c r="F1022" t="s">
        <v>1479</v>
      </c>
    </row>
    <row r="1023" spans="1:6" x14ac:dyDescent="0.25">
      <c r="A1023" t="s">
        <v>4103</v>
      </c>
      <c r="C1023" t="s">
        <v>3557</v>
      </c>
      <c r="F1023" t="s">
        <v>886</v>
      </c>
    </row>
    <row r="1024" spans="1:6" x14ac:dyDescent="0.25">
      <c r="A1024" t="s">
        <v>4103</v>
      </c>
      <c r="C1024" t="s">
        <v>3558</v>
      </c>
      <c r="F1024" t="s">
        <v>1480</v>
      </c>
    </row>
    <row r="1025" spans="1:6" x14ac:dyDescent="0.25">
      <c r="A1025" t="s">
        <v>4103</v>
      </c>
      <c r="C1025" t="s">
        <v>3559</v>
      </c>
      <c r="F1025" t="s">
        <v>1481</v>
      </c>
    </row>
    <row r="1026" spans="1:6" x14ac:dyDescent="0.25">
      <c r="A1026" t="s">
        <v>4103</v>
      </c>
      <c r="C1026" t="s">
        <v>3560</v>
      </c>
      <c r="F1026" t="s">
        <v>1482</v>
      </c>
    </row>
    <row r="1027" spans="1:6" x14ac:dyDescent="0.25">
      <c r="A1027" t="s">
        <v>4103</v>
      </c>
      <c r="C1027" t="s">
        <v>3561</v>
      </c>
      <c r="F1027" t="s">
        <v>1483</v>
      </c>
    </row>
    <row r="1028" spans="1:6" x14ac:dyDescent="0.25">
      <c r="A1028" t="s">
        <v>4103</v>
      </c>
      <c r="C1028" t="s">
        <v>2121</v>
      </c>
      <c r="F1028" t="s">
        <v>1484</v>
      </c>
    </row>
    <row r="1029" spans="1:6" x14ac:dyDescent="0.25">
      <c r="A1029" t="s">
        <v>4103</v>
      </c>
      <c r="C1029" t="s">
        <v>3562</v>
      </c>
      <c r="F1029" t="s">
        <v>1485</v>
      </c>
    </row>
    <row r="1030" spans="1:6" x14ac:dyDescent="0.25">
      <c r="A1030" t="s">
        <v>4103</v>
      </c>
      <c r="C1030" t="s">
        <v>3563</v>
      </c>
      <c r="F1030" t="s">
        <v>1486</v>
      </c>
    </row>
    <row r="1031" spans="1:6" x14ac:dyDescent="0.25">
      <c r="A1031" t="s">
        <v>4103</v>
      </c>
      <c r="C1031" t="s">
        <v>3564</v>
      </c>
      <c r="F1031" t="s">
        <v>1487</v>
      </c>
    </row>
    <row r="1032" spans="1:6" x14ac:dyDescent="0.25">
      <c r="A1032" t="s">
        <v>4103</v>
      </c>
      <c r="C1032" t="s">
        <v>3565</v>
      </c>
      <c r="F1032" t="s">
        <v>1488</v>
      </c>
    </row>
    <row r="1033" spans="1:6" x14ac:dyDescent="0.25">
      <c r="A1033" t="s">
        <v>4103</v>
      </c>
      <c r="C1033" t="s">
        <v>3566</v>
      </c>
      <c r="F1033" t="s">
        <v>1489</v>
      </c>
    </row>
    <row r="1034" spans="1:6" x14ac:dyDescent="0.25">
      <c r="A1034" t="s">
        <v>4103</v>
      </c>
      <c r="C1034" t="s">
        <v>3567</v>
      </c>
      <c r="F1034" t="s">
        <v>137</v>
      </c>
    </row>
    <row r="1035" spans="1:6" x14ac:dyDescent="0.25">
      <c r="A1035" t="s">
        <v>4103</v>
      </c>
      <c r="C1035" t="s">
        <v>3568</v>
      </c>
      <c r="F1035" t="s">
        <v>1490</v>
      </c>
    </row>
    <row r="1036" spans="1:6" x14ac:dyDescent="0.25">
      <c r="A1036" t="s">
        <v>4103</v>
      </c>
      <c r="C1036" t="s">
        <v>3569</v>
      </c>
      <c r="F1036" t="s">
        <v>1491</v>
      </c>
    </row>
    <row r="1037" spans="1:6" x14ac:dyDescent="0.25">
      <c r="A1037" t="s">
        <v>4103</v>
      </c>
      <c r="C1037" t="s">
        <v>3570</v>
      </c>
      <c r="F1037" t="s">
        <v>1492</v>
      </c>
    </row>
    <row r="1038" spans="1:6" x14ac:dyDescent="0.25">
      <c r="A1038" t="s">
        <v>4103</v>
      </c>
      <c r="C1038" t="s">
        <v>3571</v>
      </c>
      <c r="F1038" t="s">
        <v>1493</v>
      </c>
    </row>
    <row r="1039" spans="1:6" x14ac:dyDescent="0.25">
      <c r="A1039" t="s">
        <v>4103</v>
      </c>
      <c r="C1039" t="s">
        <v>3572</v>
      </c>
      <c r="F1039" t="s">
        <v>1494</v>
      </c>
    </row>
    <row r="1040" spans="1:6" x14ac:dyDescent="0.25">
      <c r="A1040" t="s">
        <v>4103</v>
      </c>
      <c r="C1040" t="s">
        <v>3573</v>
      </c>
      <c r="F1040" t="s">
        <v>1495</v>
      </c>
    </row>
    <row r="1041" spans="1:6" x14ac:dyDescent="0.25">
      <c r="A1041" t="s">
        <v>4103</v>
      </c>
      <c r="C1041" t="s">
        <v>1061</v>
      </c>
      <c r="F1041" t="s">
        <v>1496</v>
      </c>
    </row>
    <row r="1042" spans="1:6" x14ac:dyDescent="0.25">
      <c r="A1042" t="s">
        <v>4103</v>
      </c>
      <c r="C1042" t="s">
        <v>3574</v>
      </c>
      <c r="F1042" t="s">
        <v>1497</v>
      </c>
    </row>
    <row r="1043" spans="1:6" x14ac:dyDescent="0.25">
      <c r="A1043" t="s">
        <v>4103</v>
      </c>
      <c r="C1043" t="s">
        <v>1038</v>
      </c>
      <c r="F1043" t="s">
        <v>1498</v>
      </c>
    </row>
    <row r="1044" spans="1:6" x14ac:dyDescent="0.25">
      <c r="A1044" t="s">
        <v>4103</v>
      </c>
      <c r="C1044" t="s">
        <v>1041</v>
      </c>
      <c r="F1044" t="s">
        <v>1499</v>
      </c>
    </row>
    <row r="1045" spans="1:6" x14ac:dyDescent="0.25">
      <c r="A1045" t="s">
        <v>4103</v>
      </c>
      <c r="C1045" t="s">
        <v>3575</v>
      </c>
      <c r="F1045" t="s">
        <v>1500</v>
      </c>
    </row>
    <row r="1046" spans="1:6" x14ac:dyDescent="0.25">
      <c r="A1046" t="s">
        <v>4103</v>
      </c>
      <c r="C1046" t="s">
        <v>3576</v>
      </c>
      <c r="F1046" t="s">
        <v>1501</v>
      </c>
    </row>
    <row r="1047" spans="1:6" x14ac:dyDescent="0.25">
      <c r="A1047" t="s">
        <v>4103</v>
      </c>
      <c r="C1047" t="s">
        <v>3577</v>
      </c>
      <c r="F1047" t="s">
        <v>1502</v>
      </c>
    </row>
    <row r="1048" spans="1:6" x14ac:dyDescent="0.25">
      <c r="A1048" t="s">
        <v>4103</v>
      </c>
      <c r="C1048" t="s">
        <v>3578</v>
      </c>
      <c r="F1048" t="s">
        <v>1503</v>
      </c>
    </row>
    <row r="1049" spans="1:6" x14ac:dyDescent="0.25">
      <c r="A1049" t="s">
        <v>4103</v>
      </c>
      <c r="C1049" t="s">
        <v>3579</v>
      </c>
      <c r="F1049" t="s">
        <v>1504</v>
      </c>
    </row>
    <row r="1050" spans="1:6" x14ac:dyDescent="0.25">
      <c r="A1050" t="s">
        <v>4103</v>
      </c>
      <c r="C1050" t="s">
        <v>3580</v>
      </c>
      <c r="F1050" t="s">
        <v>1505</v>
      </c>
    </row>
    <row r="1051" spans="1:6" x14ac:dyDescent="0.25">
      <c r="A1051" t="s">
        <v>4103</v>
      </c>
      <c r="C1051" t="s">
        <v>3581</v>
      </c>
      <c r="F1051" t="s">
        <v>1506</v>
      </c>
    </row>
    <row r="1052" spans="1:6" x14ac:dyDescent="0.25">
      <c r="A1052" t="s">
        <v>4103</v>
      </c>
      <c r="C1052" t="s">
        <v>898</v>
      </c>
      <c r="F1052" t="s">
        <v>1507</v>
      </c>
    </row>
    <row r="1053" spans="1:6" x14ac:dyDescent="0.25">
      <c r="A1053" t="s">
        <v>4103</v>
      </c>
      <c r="C1053" t="s">
        <v>1096</v>
      </c>
      <c r="F1053" t="s">
        <v>1508</v>
      </c>
    </row>
    <row r="1054" spans="1:6" x14ac:dyDescent="0.25">
      <c r="A1054" t="s">
        <v>4103</v>
      </c>
      <c r="C1054" t="s">
        <v>3582</v>
      </c>
      <c r="F1054" t="s">
        <v>1509</v>
      </c>
    </row>
    <row r="1055" spans="1:6" x14ac:dyDescent="0.25">
      <c r="A1055" t="s">
        <v>4103</v>
      </c>
      <c r="C1055" t="s">
        <v>3583</v>
      </c>
      <c r="F1055" t="s">
        <v>1510</v>
      </c>
    </row>
    <row r="1056" spans="1:6" x14ac:dyDescent="0.25">
      <c r="A1056" t="s">
        <v>4103</v>
      </c>
      <c r="C1056" t="s">
        <v>3584</v>
      </c>
      <c r="F1056" t="s">
        <v>1511</v>
      </c>
    </row>
    <row r="1057" spans="1:6" x14ac:dyDescent="0.25">
      <c r="A1057" t="s">
        <v>4103</v>
      </c>
      <c r="C1057" t="s">
        <v>3585</v>
      </c>
      <c r="F1057" t="s">
        <v>1512</v>
      </c>
    </row>
    <row r="1058" spans="1:6" x14ac:dyDescent="0.25">
      <c r="A1058" t="s">
        <v>4103</v>
      </c>
      <c r="C1058" t="s">
        <v>3586</v>
      </c>
      <c r="F1058" t="s">
        <v>1513</v>
      </c>
    </row>
    <row r="1059" spans="1:6" x14ac:dyDescent="0.25">
      <c r="A1059" t="s">
        <v>4103</v>
      </c>
      <c r="C1059" t="s">
        <v>3587</v>
      </c>
      <c r="F1059" t="s">
        <v>1514</v>
      </c>
    </row>
    <row r="1060" spans="1:6" x14ac:dyDescent="0.25">
      <c r="A1060" t="s">
        <v>4103</v>
      </c>
      <c r="C1060" t="s">
        <v>3588</v>
      </c>
      <c r="F1060" t="s">
        <v>1515</v>
      </c>
    </row>
    <row r="1061" spans="1:6" x14ac:dyDescent="0.25">
      <c r="A1061" t="s">
        <v>4103</v>
      </c>
      <c r="C1061" t="s">
        <v>3589</v>
      </c>
      <c r="F1061" t="s">
        <v>1516</v>
      </c>
    </row>
    <row r="1062" spans="1:6" x14ac:dyDescent="0.25">
      <c r="A1062" t="s">
        <v>4103</v>
      </c>
      <c r="C1062" t="s">
        <v>3590</v>
      </c>
      <c r="F1062" t="s">
        <v>1517</v>
      </c>
    </row>
    <row r="1063" spans="1:6" x14ac:dyDescent="0.25">
      <c r="A1063" t="s">
        <v>4103</v>
      </c>
      <c r="C1063" t="s">
        <v>3591</v>
      </c>
      <c r="F1063" t="s">
        <v>1518</v>
      </c>
    </row>
    <row r="1064" spans="1:6" x14ac:dyDescent="0.25">
      <c r="A1064" t="s">
        <v>4103</v>
      </c>
      <c r="C1064" t="s">
        <v>3592</v>
      </c>
      <c r="F1064" t="s">
        <v>1519</v>
      </c>
    </row>
    <row r="1065" spans="1:6" x14ac:dyDescent="0.25">
      <c r="A1065" t="s">
        <v>4103</v>
      </c>
      <c r="C1065" t="s">
        <v>3593</v>
      </c>
      <c r="F1065" t="s">
        <v>1520</v>
      </c>
    </row>
    <row r="1066" spans="1:6" x14ac:dyDescent="0.25">
      <c r="A1066" t="s">
        <v>4103</v>
      </c>
      <c r="C1066" t="s">
        <v>3594</v>
      </c>
      <c r="F1066" t="s">
        <v>1521</v>
      </c>
    </row>
    <row r="1067" spans="1:6" x14ac:dyDescent="0.25">
      <c r="A1067" t="s">
        <v>4103</v>
      </c>
      <c r="C1067" t="s">
        <v>3595</v>
      </c>
      <c r="F1067" t="s">
        <v>1522</v>
      </c>
    </row>
    <row r="1068" spans="1:6" x14ac:dyDescent="0.25">
      <c r="A1068" t="s">
        <v>4103</v>
      </c>
      <c r="C1068" t="s">
        <v>3596</v>
      </c>
      <c r="F1068" t="s">
        <v>1523</v>
      </c>
    </row>
    <row r="1069" spans="1:6" x14ac:dyDescent="0.25">
      <c r="A1069" t="s">
        <v>4103</v>
      </c>
      <c r="C1069" t="s">
        <v>3597</v>
      </c>
      <c r="F1069" t="s">
        <v>1524</v>
      </c>
    </row>
    <row r="1070" spans="1:6" x14ac:dyDescent="0.25">
      <c r="A1070" t="s">
        <v>4103</v>
      </c>
      <c r="C1070" t="s">
        <v>3598</v>
      </c>
      <c r="F1070" t="s">
        <v>1525</v>
      </c>
    </row>
    <row r="1071" spans="1:6" x14ac:dyDescent="0.25">
      <c r="A1071" t="s">
        <v>4103</v>
      </c>
      <c r="C1071" t="s">
        <v>3599</v>
      </c>
      <c r="F1071" t="s">
        <v>1526</v>
      </c>
    </row>
    <row r="1072" spans="1:6" x14ac:dyDescent="0.25">
      <c r="A1072" t="s">
        <v>4103</v>
      </c>
      <c r="C1072" t="s">
        <v>3600</v>
      </c>
      <c r="F1072" t="s">
        <v>1527</v>
      </c>
    </row>
    <row r="1073" spans="1:6" x14ac:dyDescent="0.25">
      <c r="A1073" t="s">
        <v>4103</v>
      </c>
      <c r="C1073" t="s">
        <v>3601</v>
      </c>
      <c r="F1073" t="s">
        <v>1528</v>
      </c>
    </row>
    <row r="1074" spans="1:6" x14ac:dyDescent="0.25">
      <c r="A1074" t="s">
        <v>4103</v>
      </c>
      <c r="C1074" t="s">
        <v>3602</v>
      </c>
      <c r="F1074" t="s">
        <v>1529</v>
      </c>
    </row>
    <row r="1075" spans="1:6" x14ac:dyDescent="0.25">
      <c r="A1075" t="s">
        <v>4103</v>
      </c>
      <c r="C1075" t="s">
        <v>973</v>
      </c>
      <c r="F1075" t="s">
        <v>1530</v>
      </c>
    </row>
    <row r="1076" spans="1:6" x14ac:dyDescent="0.25">
      <c r="A1076" t="s">
        <v>4103</v>
      </c>
      <c r="C1076" t="s">
        <v>3603</v>
      </c>
      <c r="F1076" t="s">
        <v>1531</v>
      </c>
    </row>
    <row r="1077" spans="1:6" x14ac:dyDescent="0.25">
      <c r="A1077" t="s">
        <v>4103</v>
      </c>
      <c r="C1077" t="s">
        <v>3604</v>
      </c>
      <c r="F1077" t="s">
        <v>1532</v>
      </c>
    </row>
    <row r="1078" spans="1:6" x14ac:dyDescent="0.25">
      <c r="A1078" t="s">
        <v>4103</v>
      </c>
      <c r="C1078" t="s">
        <v>3605</v>
      </c>
      <c r="F1078" t="s">
        <v>1533</v>
      </c>
    </row>
    <row r="1079" spans="1:6" x14ac:dyDescent="0.25">
      <c r="A1079" t="s">
        <v>4103</v>
      </c>
      <c r="C1079" t="s">
        <v>3606</v>
      </c>
      <c r="F1079" t="s">
        <v>1534</v>
      </c>
    </row>
    <row r="1080" spans="1:6" x14ac:dyDescent="0.25">
      <c r="A1080" t="s">
        <v>4103</v>
      </c>
      <c r="C1080" t="s">
        <v>3607</v>
      </c>
      <c r="F1080" t="s">
        <v>1535</v>
      </c>
    </row>
    <row r="1081" spans="1:6" x14ac:dyDescent="0.25">
      <c r="A1081" t="s">
        <v>4103</v>
      </c>
      <c r="C1081" t="s">
        <v>3608</v>
      </c>
      <c r="F1081" t="s">
        <v>1536</v>
      </c>
    </row>
    <row r="1082" spans="1:6" x14ac:dyDescent="0.25">
      <c r="A1082" t="s">
        <v>4103</v>
      </c>
      <c r="C1082" t="s">
        <v>3609</v>
      </c>
      <c r="F1082" t="s">
        <v>1537</v>
      </c>
    </row>
    <row r="1083" spans="1:6" x14ac:dyDescent="0.25">
      <c r="A1083" t="s">
        <v>4103</v>
      </c>
      <c r="C1083" t="s">
        <v>3610</v>
      </c>
      <c r="F1083" t="s">
        <v>1538</v>
      </c>
    </row>
    <row r="1084" spans="1:6" x14ac:dyDescent="0.25">
      <c r="A1084" t="s">
        <v>4103</v>
      </c>
      <c r="C1084" t="s">
        <v>3611</v>
      </c>
      <c r="F1084" t="s">
        <v>1539</v>
      </c>
    </row>
    <row r="1085" spans="1:6" x14ac:dyDescent="0.25">
      <c r="A1085" t="s">
        <v>4103</v>
      </c>
      <c r="C1085" t="s">
        <v>1036</v>
      </c>
      <c r="F1085" t="s">
        <v>1540</v>
      </c>
    </row>
    <row r="1086" spans="1:6" x14ac:dyDescent="0.25">
      <c r="A1086" t="s">
        <v>4103</v>
      </c>
      <c r="C1086" t="s">
        <v>3612</v>
      </c>
      <c r="F1086" t="s">
        <v>1541</v>
      </c>
    </row>
    <row r="1087" spans="1:6" x14ac:dyDescent="0.25">
      <c r="A1087" t="s">
        <v>4103</v>
      </c>
      <c r="C1087" t="s">
        <v>1006</v>
      </c>
      <c r="F1087" t="s">
        <v>1542</v>
      </c>
    </row>
    <row r="1088" spans="1:6" x14ac:dyDescent="0.25">
      <c r="A1088" t="s">
        <v>4103</v>
      </c>
      <c r="C1088" t="s">
        <v>3613</v>
      </c>
      <c r="F1088" t="s">
        <v>1543</v>
      </c>
    </row>
    <row r="1089" spans="1:6" x14ac:dyDescent="0.25">
      <c r="A1089" t="s">
        <v>4103</v>
      </c>
      <c r="C1089" t="s">
        <v>3614</v>
      </c>
      <c r="F1089" t="s">
        <v>1544</v>
      </c>
    </row>
    <row r="1090" spans="1:6" x14ac:dyDescent="0.25">
      <c r="A1090" t="s">
        <v>4103</v>
      </c>
      <c r="C1090" t="s">
        <v>3615</v>
      </c>
      <c r="F1090" t="s">
        <v>1545</v>
      </c>
    </row>
    <row r="1091" spans="1:6" x14ac:dyDescent="0.25">
      <c r="A1091" t="s">
        <v>4103</v>
      </c>
      <c r="C1091" t="s">
        <v>3616</v>
      </c>
      <c r="F1091" t="s">
        <v>1546</v>
      </c>
    </row>
    <row r="1092" spans="1:6" x14ac:dyDescent="0.25">
      <c r="A1092" t="s">
        <v>4103</v>
      </c>
      <c r="C1092" t="s">
        <v>3617</v>
      </c>
      <c r="F1092" t="s">
        <v>1547</v>
      </c>
    </row>
    <row r="1093" spans="1:6" x14ac:dyDescent="0.25">
      <c r="A1093" t="s">
        <v>4103</v>
      </c>
      <c r="C1093" t="s">
        <v>3618</v>
      </c>
      <c r="F1093" t="s">
        <v>83</v>
      </c>
    </row>
    <row r="1094" spans="1:6" x14ac:dyDescent="0.25">
      <c r="A1094" t="s">
        <v>4103</v>
      </c>
      <c r="C1094" t="s">
        <v>3619</v>
      </c>
      <c r="F1094" t="s">
        <v>35</v>
      </c>
    </row>
    <row r="1095" spans="1:6" x14ac:dyDescent="0.25">
      <c r="A1095" t="s">
        <v>4103</v>
      </c>
      <c r="C1095" t="s">
        <v>985</v>
      </c>
      <c r="F1095" t="s">
        <v>114</v>
      </c>
    </row>
    <row r="1096" spans="1:6" x14ac:dyDescent="0.25">
      <c r="A1096" t="s">
        <v>4103</v>
      </c>
      <c r="C1096" t="s">
        <v>1064</v>
      </c>
      <c r="F1096" t="s">
        <v>127</v>
      </c>
    </row>
    <row r="1097" spans="1:6" x14ac:dyDescent="0.25">
      <c r="A1097" t="s">
        <v>4103</v>
      </c>
      <c r="C1097" t="s">
        <v>3620</v>
      </c>
      <c r="F1097" t="s">
        <v>1548</v>
      </c>
    </row>
    <row r="1098" spans="1:6" x14ac:dyDescent="0.25">
      <c r="A1098" t="s">
        <v>4103</v>
      </c>
      <c r="C1098" t="s">
        <v>3621</v>
      </c>
      <c r="F1098" t="s">
        <v>1549</v>
      </c>
    </row>
    <row r="1099" spans="1:6" x14ac:dyDescent="0.25">
      <c r="A1099" t="s">
        <v>4103</v>
      </c>
      <c r="C1099" t="s">
        <v>3622</v>
      </c>
      <c r="F1099" t="s">
        <v>1550</v>
      </c>
    </row>
    <row r="1100" spans="1:6" x14ac:dyDescent="0.25">
      <c r="A1100" t="s">
        <v>4103</v>
      </c>
      <c r="C1100" t="s">
        <v>3623</v>
      </c>
      <c r="F1100" t="s">
        <v>1551</v>
      </c>
    </row>
    <row r="1101" spans="1:6" x14ac:dyDescent="0.25">
      <c r="A1101" t="s">
        <v>4103</v>
      </c>
      <c r="C1101" t="s">
        <v>3624</v>
      </c>
      <c r="F1101" t="s">
        <v>1552</v>
      </c>
    </row>
    <row r="1102" spans="1:6" x14ac:dyDescent="0.25">
      <c r="A1102" t="s">
        <v>4103</v>
      </c>
      <c r="C1102" t="s">
        <v>3625</v>
      </c>
      <c r="F1102" t="s">
        <v>131</v>
      </c>
    </row>
    <row r="1103" spans="1:6" x14ac:dyDescent="0.25">
      <c r="A1103" t="s">
        <v>4103</v>
      </c>
      <c r="C1103" t="s">
        <v>3626</v>
      </c>
      <c r="F1103" t="s">
        <v>1553</v>
      </c>
    </row>
    <row r="1104" spans="1:6" x14ac:dyDescent="0.25">
      <c r="A1104" t="s">
        <v>4103</v>
      </c>
      <c r="C1104" t="s">
        <v>3627</v>
      </c>
      <c r="F1104" t="s">
        <v>1554</v>
      </c>
    </row>
    <row r="1105" spans="1:6" x14ac:dyDescent="0.25">
      <c r="A1105" t="s">
        <v>4103</v>
      </c>
      <c r="C1105" t="s">
        <v>3628</v>
      </c>
      <c r="F1105" t="s">
        <v>1555</v>
      </c>
    </row>
    <row r="1106" spans="1:6" x14ac:dyDescent="0.25">
      <c r="A1106" t="s">
        <v>4103</v>
      </c>
      <c r="C1106" t="s">
        <v>3629</v>
      </c>
      <c r="F1106" t="s">
        <v>1556</v>
      </c>
    </row>
    <row r="1107" spans="1:6" x14ac:dyDescent="0.25">
      <c r="A1107" t="s">
        <v>4103</v>
      </c>
      <c r="C1107" t="s">
        <v>3630</v>
      </c>
      <c r="F1107" t="s">
        <v>1557</v>
      </c>
    </row>
    <row r="1108" spans="1:6" x14ac:dyDescent="0.25">
      <c r="A1108" t="s">
        <v>4103</v>
      </c>
      <c r="C1108" t="s">
        <v>3631</v>
      </c>
      <c r="F1108" t="s">
        <v>1558</v>
      </c>
    </row>
    <row r="1109" spans="1:6" x14ac:dyDescent="0.25">
      <c r="A1109" t="s">
        <v>4103</v>
      </c>
      <c r="C1109" t="s">
        <v>3632</v>
      </c>
      <c r="F1109" t="s">
        <v>66</v>
      </c>
    </row>
    <row r="1110" spans="1:6" x14ac:dyDescent="0.25">
      <c r="A1110" t="s">
        <v>4103</v>
      </c>
      <c r="C1110" t="s">
        <v>3633</v>
      </c>
      <c r="F1110" t="s">
        <v>1559</v>
      </c>
    </row>
    <row r="1111" spans="1:6" x14ac:dyDescent="0.25">
      <c r="F1111" t="s">
        <v>1560</v>
      </c>
    </row>
    <row r="1112" spans="1:6" x14ac:dyDescent="0.25">
      <c r="F1112" t="s">
        <v>1561</v>
      </c>
    </row>
    <row r="1113" spans="1:6" x14ac:dyDescent="0.25">
      <c r="F1113" t="s">
        <v>1562</v>
      </c>
    </row>
    <row r="1114" spans="1:6" x14ac:dyDescent="0.25">
      <c r="F1114" t="s">
        <v>1563</v>
      </c>
    </row>
    <row r="1115" spans="1:6" x14ac:dyDescent="0.25">
      <c r="F1115" t="s">
        <v>1564</v>
      </c>
    </row>
    <row r="1116" spans="1:6" x14ac:dyDescent="0.25">
      <c r="F1116" t="s">
        <v>1565</v>
      </c>
    </row>
    <row r="1117" spans="1:6" x14ac:dyDescent="0.25">
      <c r="F1117" t="s">
        <v>1566</v>
      </c>
    </row>
    <row r="1118" spans="1:6" x14ac:dyDescent="0.25">
      <c r="F1118" t="s">
        <v>1567</v>
      </c>
    </row>
    <row r="1119" spans="1:6" x14ac:dyDescent="0.25">
      <c r="F1119" t="s">
        <v>1568</v>
      </c>
    </row>
    <row r="1120" spans="1:6" x14ac:dyDescent="0.25">
      <c r="F1120" t="s">
        <v>1569</v>
      </c>
    </row>
    <row r="1121" spans="6:6" x14ac:dyDescent="0.25">
      <c r="F1121" t="s">
        <v>1570</v>
      </c>
    </row>
    <row r="1122" spans="6:6" x14ac:dyDescent="0.25">
      <c r="F1122" t="s">
        <v>1571</v>
      </c>
    </row>
    <row r="1123" spans="6:6" x14ac:dyDescent="0.25">
      <c r="F1123" t="s">
        <v>1572</v>
      </c>
    </row>
    <row r="1124" spans="6:6" x14ac:dyDescent="0.25">
      <c r="F1124" t="s">
        <v>1573</v>
      </c>
    </row>
    <row r="1125" spans="6:6" x14ac:dyDescent="0.25">
      <c r="F1125" t="s">
        <v>1574</v>
      </c>
    </row>
    <row r="1126" spans="6:6" x14ac:dyDescent="0.25">
      <c r="F1126" t="s">
        <v>1575</v>
      </c>
    </row>
    <row r="1127" spans="6:6" x14ac:dyDescent="0.25">
      <c r="F1127" t="s">
        <v>1576</v>
      </c>
    </row>
    <row r="1128" spans="6:6" x14ac:dyDescent="0.25">
      <c r="F1128" t="s">
        <v>1577</v>
      </c>
    </row>
    <row r="1129" spans="6:6" x14ac:dyDescent="0.25">
      <c r="F1129" t="s">
        <v>1578</v>
      </c>
    </row>
    <row r="1130" spans="6:6" x14ac:dyDescent="0.25">
      <c r="F1130" t="s">
        <v>1579</v>
      </c>
    </row>
    <row r="1131" spans="6:6" x14ac:dyDescent="0.25">
      <c r="F1131" t="s">
        <v>1580</v>
      </c>
    </row>
    <row r="1132" spans="6:6" x14ac:dyDescent="0.25">
      <c r="F1132" t="s">
        <v>1581</v>
      </c>
    </row>
    <row r="1133" spans="6:6" x14ac:dyDescent="0.25">
      <c r="F1133" t="s">
        <v>1582</v>
      </c>
    </row>
    <row r="1134" spans="6:6" x14ac:dyDescent="0.25">
      <c r="F1134" t="s">
        <v>1583</v>
      </c>
    </row>
    <row r="1135" spans="6:6" x14ac:dyDescent="0.25">
      <c r="F1135" t="s">
        <v>1584</v>
      </c>
    </row>
    <row r="1136" spans="6:6" x14ac:dyDescent="0.25">
      <c r="F1136" t="s">
        <v>1585</v>
      </c>
    </row>
    <row r="1137" spans="6:6" x14ac:dyDescent="0.25">
      <c r="F1137" t="s">
        <v>1586</v>
      </c>
    </row>
    <row r="1138" spans="6:6" x14ac:dyDescent="0.25">
      <c r="F1138" t="s">
        <v>1587</v>
      </c>
    </row>
    <row r="1139" spans="6:6" x14ac:dyDescent="0.25">
      <c r="F1139" t="s">
        <v>1588</v>
      </c>
    </row>
    <row r="1140" spans="6:6" x14ac:dyDescent="0.25">
      <c r="F1140" t="s">
        <v>1589</v>
      </c>
    </row>
    <row r="1141" spans="6:6" x14ac:dyDescent="0.25">
      <c r="F1141" t="s">
        <v>1590</v>
      </c>
    </row>
    <row r="1142" spans="6:6" x14ac:dyDescent="0.25">
      <c r="F1142" t="s">
        <v>1591</v>
      </c>
    </row>
    <row r="1143" spans="6:6" x14ac:dyDescent="0.25">
      <c r="F1143" t="s">
        <v>1592</v>
      </c>
    </row>
    <row r="1144" spans="6:6" x14ac:dyDescent="0.25">
      <c r="F1144" t="s">
        <v>1593</v>
      </c>
    </row>
    <row r="1145" spans="6:6" x14ac:dyDescent="0.25">
      <c r="F1145" t="s">
        <v>1594</v>
      </c>
    </row>
    <row r="1146" spans="6:6" x14ac:dyDescent="0.25">
      <c r="F1146" t="s">
        <v>1595</v>
      </c>
    </row>
    <row r="1147" spans="6:6" x14ac:dyDescent="0.25">
      <c r="F1147" t="s">
        <v>1596</v>
      </c>
    </row>
    <row r="1148" spans="6:6" x14ac:dyDescent="0.25">
      <c r="F1148" t="s">
        <v>1597</v>
      </c>
    </row>
    <row r="1149" spans="6:6" x14ac:dyDescent="0.25">
      <c r="F1149" t="s">
        <v>1598</v>
      </c>
    </row>
    <row r="1150" spans="6:6" x14ac:dyDescent="0.25">
      <c r="F1150" t="s">
        <v>1599</v>
      </c>
    </row>
    <row r="1151" spans="6:6" x14ac:dyDescent="0.25">
      <c r="F1151" t="s">
        <v>1600</v>
      </c>
    </row>
    <row r="1152" spans="6:6" x14ac:dyDescent="0.25">
      <c r="F1152" t="s">
        <v>1601</v>
      </c>
    </row>
    <row r="1153" spans="6:6" x14ac:dyDescent="0.25">
      <c r="F1153" t="s">
        <v>1602</v>
      </c>
    </row>
    <row r="1154" spans="6:6" x14ac:dyDescent="0.25">
      <c r="F1154" t="s">
        <v>1603</v>
      </c>
    </row>
    <row r="1155" spans="6:6" x14ac:dyDescent="0.25">
      <c r="F1155" t="s">
        <v>1604</v>
      </c>
    </row>
    <row r="1156" spans="6:6" x14ac:dyDescent="0.25">
      <c r="F1156" t="s">
        <v>1605</v>
      </c>
    </row>
    <row r="1157" spans="6:6" x14ac:dyDescent="0.25">
      <c r="F1157" t="s">
        <v>1606</v>
      </c>
    </row>
    <row r="1158" spans="6:6" x14ac:dyDescent="0.25">
      <c r="F1158" t="s">
        <v>1607</v>
      </c>
    </row>
    <row r="1159" spans="6:6" x14ac:dyDescent="0.25">
      <c r="F1159" t="s">
        <v>1608</v>
      </c>
    </row>
    <row r="1160" spans="6:6" x14ac:dyDescent="0.25">
      <c r="F1160" t="s">
        <v>1609</v>
      </c>
    </row>
    <row r="1161" spans="6:6" x14ac:dyDescent="0.25">
      <c r="F1161" t="s">
        <v>1610</v>
      </c>
    </row>
    <row r="1162" spans="6:6" x14ac:dyDescent="0.25">
      <c r="F1162" t="s">
        <v>1611</v>
      </c>
    </row>
    <row r="1163" spans="6:6" x14ac:dyDescent="0.25">
      <c r="F1163" t="s">
        <v>1612</v>
      </c>
    </row>
    <row r="1164" spans="6:6" x14ac:dyDescent="0.25">
      <c r="F1164" t="s">
        <v>1613</v>
      </c>
    </row>
    <row r="1165" spans="6:6" x14ac:dyDescent="0.25">
      <c r="F1165" t="s">
        <v>1614</v>
      </c>
    </row>
    <row r="1166" spans="6:6" x14ac:dyDescent="0.25">
      <c r="F1166" t="s">
        <v>1615</v>
      </c>
    </row>
    <row r="1167" spans="6:6" x14ac:dyDescent="0.25">
      <c r="F1167" t="s">
        <v>1616</v>
      </c>
    </row>
    <row r="1168" spans="6:6" x14ac:dyDescent="0.25">
      <c r="F1168" t="s">
        <v>1617</v>
      </c>
    </row>
    <row r="1169" spans="6:6" x14ac:dyDescent="0.25">
      <c r="F1169" t="s">
        <v>1618</v>
      </c>
    </row>
    <row r="1170" spans="6:6" x14ac:dyDescent="0.25">
      <c r="F1170" t="s">
        <v>1619</v>
      </c>
    </row>
    <row r="1171" spans="6:6" x14ac:dyDescent="0.25">
      <c r="F1171" t="s">
        <v>1620</v>
      </c>
    </row>
    <row r="1172" spans="6:6" x14ac:dyDescent="0.25">
      <c r="F1172" t="s">
        <v>1621</v>
      </c>
    </row>
    <row r="1173" spans="6:6" x14ac:dyDescent="0.25">
      <c r="F1173" t="s">
        <v>1622</v>
      </c>
    </row>
    <row r="1174" spans="6:6" x14ac:dyDescent="0.25">
      <c r="F1174" t="s">
        <v>1623</v>
      </c>
    </row>
    <row r="1175" spans="6:6" x14ac:dyDescent="0.25">
      <c r="F1175" t="s">
        <v>1624</v>
      </c>
    </row>
    <row r="1176" spans="6:6" x14ac:dyDescent="0.25">
      <c r="F1176" t="s">
        <v>1625</v>
      </c>
    </row>
    <row r="1177" spans="6:6" x14ac:dyDescent="0.25">
      <c r="F1177" t="s">
        <v>1626</v>
      </c>
    </row>
    <row r="1178" spans="6:6" x14ac:dyDescent="0.25">
      <c r="F1178" t="s">
        <v>1627</v>
      </c>
    </row>
    <row r="1179" spans="6:6" x14ac:dyDescent="0.25">
      <c r="F1179" t="s">
        <v>1628</v>
      </c>
    </row>
    <row r="1180" spans="6:6" x14ac:dyDescent="0.25">
      <c r="F1180" t="s">
        <v>1629</v>
      </c>
    </row>
    <row r="1181" spans="6:6" x14ac:dyDescent="0.25">
      <c r="F1181" t="s">
        <v>1630</v>
      </c>
    </row>
    <row r="1182" spans="6:6" x14ac:dyDescent="0.25">
      <c r="F1182" t="s">
        <v>1631</v>
      </c>
    </row>
    <row r="1183" spans="6:6" x14ac:dyDescent="0.25">
      <c r="F1183" t="s">
        <v>1632</v>
      </c>
    </row>
    <row r="1184" spans="6:6" x14ac:dyDescent="0.25">
      <c r="F1184" t="s">
        <v>1633</v>
      </c>
    </row>
    <row r="1185" spans="6:6" x14ac:dyDescent="0.25">
      <c r="F1185" t="s">
        <v>1634</v>
      </c>
    </row>
    <row r="1186" spans="6:6" x14ac:dyDescent="0.25">
      <c r="F1186" t="s">
        <v>1635</v>
      </c>
    </row>
    <row r="1187" spans="6:6" x14ac:dyDescent="0.25">
      <c r="F1187" t="s">
        <v>1636</v>
      </c>
    </row>
    <row r="1188" spans="6:6" x14ac:dyDescent="0.25">
      <c r="F1188" t="s">
        <v>1637</v>
      </c>
    </row>
    <row r="1189" spans="6:6" x14ac:dyDescent="0.25">
      <c r="F1189" t="s">
        <v>1638</v>
      </c>
    </row>
    <row r="1190" spans="6:6" x14ac:dyDescent="0.25">
      <c r="F1190" t="s">
        <v>1639</v>
      </c>
    </row>
    <row r="1191" spans="6:6" x14ac:dyDescent="0.25">
      <c r="F1191" t="s">
        <v>1640</v>
      </c>
    </row>
    <row r="1192" spans="6:6" x14ac:dyDescent="0.25">
      <c r="F1192" t="s">
        <v>1641</v>
      </c>
    </row>
    <row r="1193" spans="6:6" x14ac:dyDescent="0.25">
      <c r="F1193" t="s">
        <v>1642</v>
      </c>
    </row>
    <row r="1194" spans="6:6" x14ac:dyDescent="0.25">
      <c r="F1194" t="s">
        <v>1643</v>
      </c>
    </row>
    <row r="1195" spans="6:6" x14ac:dyDescent="0.25">
      <c r="F1195" t="s">
        <v>1644</v>
      </c>
    </row>
    <row r="1196" spans="6:6" x14ac:dyDescent="0.25">
      <c r="F1196" t="s">
        <v>1645</v>
      </c>
    </row>
    <row r="1197" spans="6:6" x14ac:dyDescent="0.25">
      <c r="F1197" t="s">
        <v>1646</v>
      </c>
    </row>
    <row r="1198" spans="6:6" x14ac:dyDescent="0.25">
      <c r="F1198" t="s">
        <v>144</v>
      </c>
    </row>
    <row r="1199" spans="6:6" x14ac:dyDescent="0.25">
      <c r="F1199" t="s">
        <v>1647</v>
      </c>
    </row>
    <row r="1200" spans="6:6" x14ac:dyDescent="0.25">
      <c r="F1200" t="s">
        <v>917</v>
      </c>
    </row>
    <row r="1201" spans="6:6" x14ac:dyDescent="0.25">
      <c r="F1201" t="s">
        <v>1648</v>
      </c>
    </row>
    <row r="1202" spans="6:6" x14ac:dyDescent="0.25">
      <c r="F1202" t="s">
        <v>1649</v>
      </c>
    </row>
    <row r="1203" spans="6:6" x14ac:dyDescent="0.25">
      <c r="F1203" t="s">
        <v>1650</v>
      </c>
    </row>
    <row r="1204" spans="6:6" x14ac:dyDescent="0.25">
      <c r="F1204" t="s">
        <v>1651</v>
      </c>
    </row>
    <row r="1205" spans="6:6" x14ac:dyDescent="0.25">
      <c r="F1205" t="s">
        <v>1652</v>
      </c>
    </row>
    <row r="1206" spans="6:6" x14ac:dyDescent="0.25">
      <c r="F1206" t="s">
        <v>1653</v>
      </c>
    </row>
    <row r="1207" spans="6:6" x14ac:dyDescent="0.25">
      <c r="F1207" t="s">
        <v>1654</v>
      </c>
    </row>
    <row r="1208" spans="6:6" x14ac:dyDescent="0.25">
      <c r="F1208" t="s">
        <v>1655</v>
      </c>
    </row>
    <row r="1209" spans="6:6" x14ac:dyDescent="0.25">
      <c r="F1209" t="s">
        <v>1656</v>
      </c>
    </row>
    <row r="1210" spans="6:6" x14ac:dyDescent="0.25">
      <c r="F1210" t="s">
        <v>1657</v>
      </c>
    </row>
    <row r="1211" spans="6:6" x14ac:dyDescent="0.25">
      <c r="F1211" t="s">
        <v>1658</v>
      </c>
    </row>
    <row r="1212" spans="6:6" x14ac:dyDescent="0.25">
      <c r="F1212" t="s">
        <v>1659</v>
      </c>
    </row>
    <row r="1213" spans="6:6" x14ac:dyDescent="0.25">
      <c r="F1213" t="s">
        <v>1660</v>
      </c>
    </row>
    <row r="1214" spans="6:6" x14ac:dyDescent="0.25">
      <c r="F1214" t="s">
        <v>195</v>
      </c>
    </row>
    <row r="1215" spans="6:6" x14ac:dyDescent="0.25">
      <c r="F1215" t="s">
        <v>1661</v>
      </c>
    </row>
    <row r="1216" spans="6:6" x14ac:dyDescent="0.25">
      <c r="F1216" t="s">
        <v>1662</v>
      </c>
    </row>
    <row r="1217" spans="6:6" x14ac:dyDescent="0.25">
      <c r="F1217" t="s">
        <v>1663</v>
      </c>
    </row>
    <row r="1218" spans="6:6" x14ac:dyDescent="0.25">
      <c r="F1218" t="s">
        <v>1664</v>
      </c>
    </row>
    <row r="1219" spans="6:6" x14ac:dyDescent="0.25">
      <c r="F1219" t="s">
        <v>1665</v>
      </c>
    </row>
    <row r="1220" spans="6:6" x14ac:dyDescent="0.25">
      <c r="F1220" t="s">
        <v>1666</v>
      </c>
    </row>
    <row r="1221" spans="6:6" x14ac:dyDescent="0.25">
      <c r="F1221" t="s">
        <v>1667</v>
      </c>
    </row>
    <row r="1222" spans="6:6" x14ac:dyDescent="0.25">
      <c r="F1222" t="s">
        <v>1668</v>
      </c>
    </row>
    <row r="1223" spans="6:6" x14ac:dyDescent="0.25">
      <c r="F1223" t="s">
        <v>1669</v>
      </c>
    </row>
    <row r="1224" spans="6:6" x14ac:dyDescent="0.25">
      <c r="F1224" t="s">
        <v>1670</v>
      </c>
    </row>
    <row r="1225" spans="6:6" x14ac:dyDescent="0.25">
      <c r="F1225" t="s">
        <v>1671</v>
      </c>
    </row>
    <row r="1226" spans="6:6" x14ac:dyDescent="0.25">
      <c r="F1226" t="s">
        <v>1672</v>
      </c>
    </row>
    <row r="1227" spans="6:6" x14ac:dyDescent="0.25">
      <c r="F1227" t="s">
        <v>1673</v>
      </c>
    </row>
    <row r="1228" spans="6:6" x14ac:dyDescent="0.25">
      <c r="F1228" t="s">
        <v>1674</v>
      </c>
    </row>
    <row r="1229" spans="6:6" x14ac:dyDescent="0.25">
      <c r="F1229" t="s">
        <v>1675</v>
      </c>
    </row>
    <row r="1230" spans="6:6" x14ac:dyDescent="0.25">
      <c r="F1230" t="s">
        <v>1676</v>
      </c>
    </row>
    <row r="1231" spans="6:6" x14ac:dyDescent="0.25">
      <c r="F1231" t="s">
        <v>1677</v>
      </c>
    </row>
    <row r="1232" spans="6:6" x14ac:dyDescent="0.25">
      <c r="F1232" t="s">
        <v>1678</v>
      </c>
    </row>
    <row r="1233" spans="6:6" x14ac:dyDescent="0.25">
      <c r="F1233" t="s">
        <v>1679</v>
      </c>
    </row>
    <row r="1234" spans="6:6" x14ac:dyDescent="0.25">
      <c r="F1234" t="s">
        <v>1680</v>
      </c>
    </row>
    <row r="1235" spans="6:6" x14ac:dyDescent="0.25">
      <c r="F1235" t="s">
        <v>1681</v>
      </c>
    </row>
    <row r="1236" spans="6:6" x14ac:dyDescent="0.25">
      <c r="F1236" t="s">
        <v>1682</v>
      </c>
    </row>
    <row r="1237" spans="6:6" x14ac:dyDescent="0.25">
      <c r="F1237" t="s">
        <v>1683</v>
      </c>
    </row>
    <row r="1238" spans="6:6" x14ac:dyDescent="0.25">
      <c r="F1238" t="s">
        <v>1684</v>
      </c>
    </row>
    <row r="1239" spans="6:6" x14ac:dyDescent="0.25">
      <c r="F1239" t="s">
        <v>1685</v>
      </c>
    </row>
    <row r="1240" spans="6:6" x14ac:dyDescent="0.25">
      <c r="F1240" t="s">
        <v>1686</v>
      </c>
    </row>
    <row r="1241" spans="6:6" x14ac:dyDescent="0.25">
      <c r="F1241" t="s">
        <v>1687</v>
      </c>
    </row>
    <row r="1242" spans="6:6" x14ac:dyDescent="0.25">
      <c r="F1242" t="s">
        <v>1688</v>
      </c>
    </row>
    <row r="1243" spans="6:6" x14ac:dyDescent="0.25">
      <c r="F1243" t="s">
        <v>1689</v>
      </c>
    </row>
    <row r="1244" spans="6:6" x14ac:dyDescent="0.25">
      <c r="F1244" t="s">
        <v>1690</v>
      </c>
    </row>
    <row r="1245" spans="6:6" x14ac:dyDescent="0.25">
      <c r="F1245" t="s">
        <v>1691</v>
      </c>
    </row>
    <row r="1246" spans="6:6" x14ac:dyDescent="0.25">
      <c r="F1246" t="s">
        <v>1692</v>
      </c>
    </row>
    <row r="1247" spans="6:6" x14ac:dyDescent="0.25">
      <c r="F1247" t="s">
        <v>1693</v>
      </c>
    </row>
    <row r="1248" spans="6:6" x14ac:dyDescent="0.25">
      <c r="F1248" t="s">
        <v>1694</v>
      </c>
    </row>
    <row r="1249" spans="6:6" x14ac:dyDescent="0.25">
      <c r="F1249" t="s">
        <v>1695</v>
      </c>
    </row>
    <row r="1250" spans="6:6" x14ac:dyDescent="0.25">
      <c r="F1250" t="s">
        <v>1696</v>
      </c>
    </row>
    <row r="1251" spans="6:6" x14ac:dyDescent="0.25">
      <c r="F1251" t="s">
        <v>1697</v>
      </c>
    </row>
    <row r="1252" spans="6:6" x14ac:dyDescent="0.25">
      <c r="F1252" t="s">
        <v>1698</v>
      </c>
    </row>
    <row r="1253" spans="6:6" x14ac:dyDescent="0.25">
      <c r="F1253" t="s">
        <v>1699</v>
      </c>
    </row>
    <row r="1254" spans="6:6" x14ac:dyDescent="0.25">
      <c r="F1254" t="s">
        <v>1700</v>
      </c>
    </row>
    <row r="1255" spans="6:6" x14ac:dyDescent="0.25">
      <c r="F1255" t="s">
        <v>1701</v>
      </c>
    </row>
    <row r="1256" spans="6:6" x14ac:dyDescent="0.25">
      <c r="F1256" t="s">
        <v>1702</v>
      </c>
    </row>
    <row r="1257" spans="6:6" x14ac:dyDescent="0.25">
      <c r="F1257" t="s">
        <v>1703</v>
      </c>
    </row>
    <row r="1258" spans="6:6" x14ac:dyDescent="0.25">
      <c r="F1258" t="s">
        <v>1704</v>
      </c>
    </row>
    <row r="1259" spans="6:6" x14ac:dyDescent="0.25">
      <c r="F1259" t="s">
        <v>1705</v>
      </c>
    </row>
    <row r="1260" spans="6:6" x14ac:dyDescent="0.25">
      <c r="F1260" t="s">
        <v>1706</v>
      </c>
    </row>
    <row r="1261" spans="6:6" x14ac:dyDescent="0.25">
      <c r="F1261" t="s">
        <v>1707</v>
      </c>
    </row>
    <row r="1262" spans="6:6" x14ac:dyDescent="0.25">
      <c r="F1262" t="s">
        <v>1708</v>
      </c>
    </row>
    <row r="1263" spans="6:6" x14ac:dyDescent="0.25">
      <c r="F1263" t="s">
        <v>1709</v>
      </c>
    </row>
    <row r="1264" spans="6:6" x14ac:dyDescent="0.25">
      <c r="F1264" t="s">
        <v>1710</v>
      </c>
    </row>
    <row r="1265" spans="6:6" x14ac:dyDescent="0.25">
      <c r="F1265" t="s">
        <v>1711</v>
      </c>
    </row>
    <row r="1266" spans="6:6" x14ac:dyDescent="0.25">
      <c r="F1266" t="s">
        <v>1712</v>
      </c>
    </row>
    <row r="1267" spans="6:6" x14ac:dyDescent="0.25">
      <c r="F1267" t="s">
        <v>1713</v>
      </c>
    </row>
    <row r="1268" spans="6:6" x14ac:dyDescent="0.25">
      <c r="F1268" t="s">
        <v>1714</v>
      </c>
    </row>
    <row r="1269" spans="6:6" x14ac:dyDescent="0.25">
      <c r="F1269" t="s">
        <v>1715</v>
      </c>
    </row>
    <row r="1270" spans="6:6" x14ac:dyDescent="0.25">
      <c r="F1270" t="s">
        <v>1716</v>
      </c>
    </row>
    <row r="1271" spans="6:6" x14ac:dyDescent="0.25">
      <c r="F1271" t="s">
        <v>1717</v>
      </c>
    </row>
    <row r="1272" spans="6:6" x14ac:dyDescent="0.25">
      <c r="F1272" t="s">
        <v>1718</v>
      </c>
    </row>
    <row r="1273" spans="6:6" x14ac:dyDescent="0.25">
      <c r="F1273" t="s">
        <v>1719</v>
      </c>
    </row>
    <row r="1274" spans="6:6" x14ac:dyDescent="0.25">
      <c r="F1274" t="s">
        <v>1720</v>
      </c>
    </row>
    <row r="1275" spans="6:6" x14ac:dyDescent="0.25">
      <c r="F1275" t="s">
        <v>1721</v>
      </c>
    </row>
    <row r="1276" spans="6:6" x14ac:dyDescent="0.25">
      <c r="F1276" t="s">
        <v>1722</v>
      </c>
    </row>
    <row r="1277" spans="6:6" x14ac:dyDescent="0.25">
      <c r="F1277" t="s">
        <v>1723</v>
      </c>
    </row>
    <row r="1278" spans="6:6" x14ac:dyDescent="0.25">
      <c r="F1278" t="s">
        <v>1724</v>
      </c>
    </row>
    <row r="1279" spans="6:6" x14ac:dyDescent="0.25">
      <c r="F1279" t="s">
        <v>1725</v>
      </c>
    </row>
    <row r="1280" spans="6:6" x14ac:dyDescent="0.25">
      <c r="F1280" t="s">
        <v>1726</v>
      </c>
    </row>
    <row r="1281" spans="6:6" x14ac:dyDescent="0.25">
      <c r="F1281" t="s">
        <v>1727</v>
      </c>
    </row>
    <row r="1282" spans="6:6" x14ac:dyDescent="0.25">
      <c r="F1282" t="s">
        <v>1728</v>
      </c>
    </row>
    <row r="1283" spans="6:6" x14ac:dyDescent="0.25">
      <c r="F1283" t="s">
        <v>1729</v>
      </c>
    </row>
    <row r="1284" spans="6:6" x14ac:dyDescent="0.25">
      <c r="F1284" t="s">
        <v>1730</v>
      </c>
    </row>
    <row r="1285" spans="6:6" x14ac:dyDescent="0.25">
      <c r="F1285" t="s">
        <v>1731</v>
      </c>
    </row>
    <row r="1286" spans="6:6" x14ac:dyDescent="0.25">
      <c r="F1286" t="s">
        <v>1732</v>
      </c>
    </row>
    <row r="1287" spans="6:6" x14ac:dyDescent="0.25">
      <c r="F1287" t="s">
        <v>1733</v>
      </c>
    </row>
    <row r="1288" spans="6:6" x14ac:dyDescent="0.25">
      <c r="F1288" t="s">
        <v>1734</v>
      </c>
    </row>
    <row r="1289" spans="6:6" x14ac:dyDescent="0.25">
      <c r="F1289" t="s">
        <v>1735</v>
      </c>
    </row>
    <row r="1290" spans="6:6" x14ac:dyDescent="0.25">
      <c r="F1290" t="s">
        <v>1736</v>
      </c>
    </row>
    <row r="1291" spans="6:6" x14ac:dyDescent="0.25">
      <c r="F1291" t="s">
        <v>1737</v>
      </c>
    </row>
    <row r="1292" spans="6:6" x14ac:dyDescent="0.25">
      <c r="F1292" t="s">
        <v>1738</v>
      </c>
    </row>
    <row r="1293" spans="6:6" x14ac:dyDescent="0.25">
      <c r="F1293" t="s">
        <v>1739</v>
      </c>
    </row>
    <row r="1294" spans="6:6" x14ac:dyDescent="0.25">
      <c r="F1294" t="s">
        <v>1740</v>
      </c>
    </row>
    <row r="1295" spans="6:6" x14ac:dyDescent="0.25">
      <c r="F1295" t="s">
        <v>1741</v>
      </c>
    </row>
    <row r="1296" spans="6:6" x14ac:dyDescent="0.25">
      <c r="F1296" t="s">
        <v>1742</v>
      </c>
    </row>
    <row r="1297" spans="6:6" x14ac:dyDescent="0.25">
      <c r="F1297" t="s">
        <v>1743</v>
      </c>
    </row>
    <row r="1298" spans="6:6" x14ac:dyDescent="0.25">
      <c r="F1298" t="s">
        <v>1744</v>
      </c>
    </row>
    <row r="1299" spans="6:6" x14ac:dyDescent="0.25">
      <c r="F1299" t="s">
        <v>1745</v>
      </c>
    </row>
    <row r="1300" spans="6:6" x14ac:dyDescent="0.25">
      <c r="F1300" t="s">
        <v>1746</v>
      </c>
    </row>
    <row r="1301" spans="6:6" x14ac:dyDescent="0.25">
      <c r="F1301" t="s">
        <v>1747</v>
      </c>
    </row>
    <row r="1302" spans="6:6" x14ac:dyDescent="0.25">
      <c r="F1302" t="s">
        <v>1748</v>
      </c>
    </row>
    <row r="1303" spans="6:6" x14ac:dyDescent="0.25">
      <c r="F1303" t="s">
        <v>1749</v>
      </c>
    </row>
    <row r="1304" spans="6:6" x14ac:dyDescent="0.25">
      <c r="F1304" t="s">
        <v>1750</v>
      </c>
    </row>
    <row r="1305" spans="6:6" x14ac:dyDescent="0.25">
      <c r="F1305" t="s">
        <v>1751</v>
      </c>
    </row>
    <row r="1306" spans="6:6" x14ac:dyDescent="0.25">
      <c r="F1306" t="s">
        <v>1752</v>
      </c>
    </row>
    <row r="1307" spans="6:6" x14ac:dyDescent="0.25">
      <c r="F1307" t="s">
        <v>1753</v>
      </c>
    </row>
    <row r="1308" spans="6:6" x14ac:dyDescent="0.25">
      <c r="F1308" t="s">
        <v>44</v>
      </c>
    </row>
    <row r="1309" spans="6:6" x14ac:dyDescent="0.25">
      <c r="F1309" t="s">
        <v>1754</v>
      </c>
    </row>
    <row r="1310" spans="6:6" x14ac:dyDescent="0.25">
      <c r="F1310" t="s">
        <v>42</v>
      </c>
    </row>
    <row r="1311" spans="6:6" x14ac:dyDescent="0.25">
      <c r="F1311" t="s">
        <v>1755</v>
      </c>
    </row>
    <row r="1312" spans="6:6" x14ac:dyDescent="0.25">
      <c r="F1312" t="s">
        <v>1756</v>
      </c>
    </row>
    <row r="1313" spans="6:6" x14ac:dyDescent="0.25">
      <c r="F1313" t="s">
        <v>1757</v>
      </c>
    </row>
    <row r="1314" spans="6:6" x14ac:dyDescent="0.25">
      <c r="F1314" t="s">
        <v>1758</v>
      </c>
    </row>
    <row r="1315" spans="6:6" x14ac:dyDescent="0.25">
      <c r="F1315" t="s">
        <v>1759</v>
      </c>
    </row>
    <row r="1316" spans="6:6" x14ac:dyDescent="0.25">
      <c r="F1316" t="s">
        <v>1760</v>
      </c>
    </row>
    <row r="1317" spans="6:6" x14ac:dyDescent="0.25">
      <c r="F1317" t="s">
        <v>202</v>
      </c>
    </row>
    <row r="1318" spans="6:6" x14ac:dyDescent="0.25">
      <c r="F1318" t="s">
        <v>1761</v>
      </c>
    </row>
    <row r="1319" spans="6:6" x14ac:dyDescent="0.25">
      <c r="F1319" t="s">
        <v>1762</v>
      </c>
    </row>
    <row r="1320" spans="6:6" x14ac:dyDescent="0.25">
      <c r="F1320" t="s">
        <v>1763</v>
      </c>
    </row>
    <row r="1321" spans="6:6" x14ac:dyDescent="0.25">
      <c r="F1321" t="s">
        <v>1764</v>
      </c>
    </row>
    <row r="1322" spans="6:6" x14ac:dyDescent="0.25">
      <c r="F1322" t="s">
        <v>1765</v>
      </c>
    </row>
    <row r="1323" spans="6:6" x14ac:dyDescent="0.25">
      <c r="F1323" t="s">
        <v>1766</v>
      </c>
    </row>
    <row r="1324" spans="6:6" x14ac:dyDescent="0.25">
      <c r="F1324" t="s">
        <v>1767</v>
      </c>
    </row>
    <row r="1325" spans="6:6" x14ac:dyDescent="0.25">
      <c r="F1325" t="s">
        <v>1768</v>
      </c>
    </row>
    <row r="1326" spans="6:6" x14ac:dyDescent="0.25">
      <c r="F1326" t="s">
        <v>1769</v>
      </c>
    </row>
    <row r="1327" spans="6:6" x14ac:dyDescent="0.25">
      <c r="F1327" t="s">
        <v>1770</v>
      </c>
    </row>
    <row r="1328" spans="6:6" x14ac:dyDescent="0.25">
      <c r="F1328" t="s">
        <v>1771</v>
      </c>
    </row>
    <row r="1329" spans="6:6" x14ac:dyDescent="0.25">
      <c r="F1329" t="s">
        <v>1772</v>
      </c>
    </row>
    <row r="1330" spans="6:6" x14ac:dyDescent="0.25">
      <c r="F1330" t="s">
        <v>1773</v>
      </c>
    </row>
    <row r="1331" spans="6:6" x14ac:dyDescent="0.25">
      <c r="F1331" t="s">
        <v>1774</v>
      </c>
    </row>
    <row r="1332" spans="6:6" x14ac:dyDescent="0.25">
      <c r="F1332" t="s">
        <v>1775</v>
      </c>
    </row>
    <row r="1333" spans="6:6" x14ac:dyDescent="0.25">
      <c r="F1333" t="s">
        <v>1776</v>
      </c>
    </row>
    <row r="1334" spans="6:6" x14ac:dyDescent="0.25">
      <c r="F1334" t="s">
        <v>1777</v>
      </c>
    </row>
    <row r="1335" spans="6:6" x14ac:dyDescent="0.25">
      <c r="F1335" t="s">
        <v>1778</v>
      </c>
    </row>
    <row r="1336" spans="6:6" x14ac:dyDescent="0.25">
      <c r="F1336" t="s">
        <v>1779</v>
      </c>
    </row>
    <row r="1337" spans="6:6" x14ac:dyDescent="0.25">
      <c r="F1337" t="s">
        <v>1780</v>
      </c>
    </row>
    <row r="1338" spans="6:6" x14ac:dyDescent="0.25">
      <c r="F1338" t="s">
        <v>1781</v>
      </c>
    </row>
    <row r="1339" spans="6:6" x14ac:dyDescent="0.25">
      <c r="F1339" t="s">
        <v>1782</v>
      </c>
    </row>
    <row r="1340" spans="6:6" x14ac:dyDescent="0.25">
      <c r="F1340" t="s">
        <v>1783</v>
      </c>
    </row>
    <row r="1341" spans="6:6" x14ac:dyDescent="0.25">
      <c r="F1341" t="s">
        <v>1784</v>
      </c>
    </row>
    <row r="1342" spans="6:6" x14ac:dyDescent="0.25">
      <c r="F1342" t="s">
        <v>1785</v>
      </c>
    </row>
    <row r="1343" spans="6:6" x14ac:dyDescent="0.25">
      <c r="F1343" t="s">
        <v>936</v>
      </c>
    </row>
    <row r="1344" spans="6:6" x14ac:dyDescent="0.25">
      <c r="F1344" t="s">
        <v>1786</v>
      </c>
    </row>
    <row r="1345" spans="6:6" x14ac:dyDescent="0.25">
      <c r="F1345" t="s">
        <v>1787</v>
      </c>
    </row>
    <row r="1346" spans="6:6" x14ac:dyDescent="0.25">
      <c r="F1346" t="s">
        <v>1788</v>
      </c>
    </row>
    <row r="1347" spans="6:6" x14ac:dyDescent="0.25">
      <c r="F1347" t="s">
        <v>1789</v>
      </c>
    </row>
    <row r="1348" spans="6:6" x14ac:dyDescent="0.25">
      <c r="F1348" t="s">
        <v>1790</v>
      </c>
    </row>
    <row r="1349" spans="6:6" x14ac:dyDescent="0.25">
      <c r="F1349" t="s">
        <v>69</v>
      </c>
    </row>
    <row r="1350" spans="6:6" x14ac:dyDescent="0.25">
      <c r="F1350" t="s">
        <v>1791</v>
      </c>
    </row>
    <row r="1351" spans="6:6" x14ac:dyDescent="0.25">
      <c r="F1351" t="s">
        <v>1792</v>
      </c>
    </row>
    <row r="1352" spans="6:6" x14ac:dyDescent="0.25">
      <c r="F1352" t="s">
        <v>1793</v>
      </c>
    </row>
    <row r="1353" spans="6:6" x14ac:dyDescent="0.25">
      <c r="F1353" t="s">
        <v>1794</v>
      </c>
    </row>
    <row r="1354" spans="6:6" x14ac:dyDescent="0.25">
      <c r="F1354" t="s">
        <v>1795</v>
      </c>
    </row>
    <row r="1355" spans="6:6" x14ac:dyDescent="0.25">
      <c r="F1355" t="s">
        <v>112</v>
      </c>
    </row>
    <row r="1356" spans="6:6" x14ac:dyDescent="0.25">
      <c r="F1356" t="s">
        <v>1796</v>
      </c>
    </row>
    <row r="1357" spans="6:6" x14ac:dyDescent="0.25">
      <c r="F1357" t="s">
        <v>1797</v>
      </c>
    </row>
    <row r="1358" spans="6:6" x14ac:dyDescent="0.25">
      <c r="F1358" t="s">
        <v>1798</v>
      </c>
    </row>
    <row r="1359" spans="6:6" x14ac:dyDescent="0.25">
      <c r="F1359" t="s">
        <v>48</v>
      </c>
    </row>
    <row r="1360" spans="6:6" x14ac:dyDescent="0.25">
      <c r="F1360" t="s">
        <v>1799</v>
      </c>
    </row>
    <row r="1361" spans="6:6" x14ac:dyDescent="0.25">
      <c r="F1361" t="s">
        <v>1800</v>
      </c>
    </row>
    <row r="1362" spans="6:6" x14ac:dyDescent="0.25">
      <c r="F1362" t="s">
        <v>1801</v>
      </c>
    </row>
    <row r="1363" spans="6:6" x14ac:dyDescent="0.25">
      <c r="F1363" t="s">
        <v>1802</v>
      </c>
    </row>
    <row r="1364" spans="6:6" x14ac:dyDescent="0.25">
      <c r="F1364" t="s">
        <v>1803</v>
      </c>
    </row>
    <row r="1365" spans="6:6" x14ac:dyDescent="0.25">
      <c r="F1365" t="s">
        <v>1804</v>
      </c>
    </row>
    <row r="1366" spans="6:6" x14ac:dyDescent="0.25">
      <c r="F1366" t="s">
        <v>1805</v>
      </c>
    </row>
    <row r="1367" spans="6:6" x14ac:dyDescent="0.25">
      <c r="F1367" t="s">
        <v>1806</v>
      </c>
    </row>
    <row r="1368" spans="6:6" x14ac:dyDescent="0.25">
      <c r="F1368" t="s">
        <v>1807</v>
      </c>
    </row>
    <row r="1369" spans="6:6" x14ac:dyDescent="0.25">
      <c r="F1369" t="s">
        <v>1808</v>
      </c>
    </row>
    <row r="1370" spans="6:6" x14ac:dyDescent="0.25">
      <c r="F1370" t="s">
        <v>1809</v>
      </c>
    </row>
    <row r="1371" spans="6:6" x14ac:dyDescent="0.25">
      <c r="F1371" t="s">
        <v>1810</v>
      </c>
    </row>
    <row r="1372" spans="6:6" x14ac:dyDescent="0.25">
      <c r="F1372" t="s">
        <v>1811</v>
      </c>
    </row>
    <row r="1373" spans="6:6" x14ac:dyDescent="0.25">
      <c r="F1373" t="s">
        <v>1812</v>
      </c>
    </row>
    <row r="1374" spans="6:6" x14ac:dyDescent="0.25">
      <c r="F1374" t="s">
        <v>4</v>
      </c>
    </row>
    <row r="1375" spans="6:6" x14ac:dyDescent="0.25">
      <c r="F1375" t="s">
        <v>1813</v>
      </c>
    </row>
    <row r="1376" spans="6:6" x14ac:dyDescent="0.25">
      <c r="F1376" t="s">
        <v>1814</v>
      </c>
    </row>
    <row r="1377" spans="6:6" x14ac:dyDescent="0.25">
      <c r="F1377" t="s">
        <v>1815</v>
      </c>
    </row>
    <row r="1378" spans="6:6" x14ac:dyDescent="0.25">
      <c r="F1378" t="s">
        <v>1816</v>
      </c>
    </row>
    <row r="1379" spans="6:6" x14ac:dyDescent="0.25">
      <c r="F1379" t="s">
        <v>1817</v>
      </c>
    </row>
    <row r="1380" spans="6:6" x14ac:dyDescent="0.25">
      <c r="F1380" t="s">
        <v>1818</v>
      </c>
    </row>
    <row r="1381" spans="6:6" x14ac:dyDescent="0.25">
      <c r="F1381" t="s">
        <v>1819</v>
      </c>
    </row>
    <row r="1382" spans="6:6" x14ac:dyDescent="0.25">
      <c r="F1382" t="s">
        <v>1820</v>
      </c>
    </row>
    <row r="1383" spans="6:6" x14ac:dyDescent="0.25">
      <c r="F1383" t="s">
        <v>1821</v>
      </c>
    </row>
    <row r="1384" spans="6:6" x14ac:dyDescent="0.25">
      <c r="F1384" t="s">
        <v>1822</v>
      </c>
    </row>
    <row r="1385" spans="6:6" x14ac:dyDescent="0.25">
      <c r="F1385" t="s">
        <v>1823</v>
      </c>
    </row>
    <row r="1386" spans="6:6" x14ac:dyDescent="0.25">
      <c r="F1386" t="s">
        <v>1824</v>
      </c>
    </row>
    <row r="1387" spans="6:6" x14ac:dyDescent="0.25">
      <c r="F1387" t="s">
        <v>1825</v>
      </c>
    </row>
    <row r="1388" spans="6:6" x14ac:dyDescent="0.25">
      <c r="F1388" t="s">
        <v>1826</v>
      </c>
    </row>
    <row r="1389" spans="6:6" x14ac:dyDescent="0.25">
      <c r="F1389" t="s">
        <v>1827</v>
      </c>
    </row>
    <row r="1390" spans="6:6" x14ac:dyDescent="0.25">
      <c r="F1390" t="s">
        <v>1828</v>
      </c>
    </row>
    <row r="1391" spans="6:6" x14ac:dyDescent="0.25">
      <c r="F1391" t="s">
        <v>1829</v>
      </c>
    </row>
    <row r="1392" spans="6:6" x14ac:dyDescent="0.25">
      <c r="F1392" t="s">
        <v>1830</v>
      </c>
    </row>
    <row r="1393" spans="6:6" x14ac:dyDescent="0.25">
      <c r="F1393" t="s">
        <v>1831</v>
      </c>
    </row>
    <row r="1394" spans="6:6" x14ac:dyDescent="0.25">
      <c r="F1394" t="s">
        <v>1832</v>
      </c>
    </row>
    <row r="1395" spans="6:6" x14ac:dyDescent="0.25">
      <c r="F1395" t="s">
        <v>1833</v>
      </c>
    </row>
    <row r="1396" spans="6:6" x14ac:dyDescent="0.25">
      <c r="F1396" t="s">
        <v>1834</v>
      </c>
    </row>
    <row r="1397" spans="6:6" x14ac:dyDescent="0.25">
      <c r="F1397" t="s">
        <v>1835</v>
      </c>
    </row>
    <row r="1398" spans="6:6" x14ac:dyDescent="0.25">
      <c r="F1398" t="s">
        <v>1836</v>
      </c>
    </row>
    <row r="1399" spans="6:6" x14ac:dyDescent="0.25">
      <c r="F1399" t="s">
        <v>1837</v>
      </c>
    </row>
    <row r="1400" spans="6:6" x14ac:dyDescent="0.25">
      <c r="F1400" t="s">
        <v>1838</v>
      </c>
    </row>
    <row r="1401" spans="6:6" x14ac:dyDescent="0.25">
      <c r="F1401" t="s">
        <v>1839</v>
      </c>
    </row>
    <row r="1402" spans="6:6" x14ac:dyDescent="0.25">
      <c r="F1402" t="s">
        <v>1840</v>
      </c>
    </row>
    <row r="1403" spans="6:6" x14ac:dyDescent="0.25">
      <c r="F1403" t="s">
        <v>1841</v>
      </c>
    </row>
    <row r="1404" spans="6:6" x14ac:dyDescent="0.25">
      <c r="F1404" t="s">
        <v>1842</v>
      </c>
    </row>
    <row r="1405" spans="6:6" x14ac:dyDescent="0.25">
      <c r="F1405" t="s">
        <v>1843</v>
      </c>
    </row>
    <row r="1406" spans="6:6" x14ac:dyDescent="0.25">
      <c r="F1406" t="s">
        <v>1844</v>
      </c>
    </row>
    <row r="1407" spans="6:6" x14ac:dyDescent="0.25">
      <c r="F1407" t="s">
        <v>1845</v>
      </c>
    </row>
    <row r="1408" spans="6:6" x14ac:dyDescent="0.25">
      <c r="F1408" t="s">
        <v>1846</v>
      </c>
    </row>
    <row r="1409" spans="6:6" x14ac:dyDescent="0.25">
      <c r="F1409" t="s">
        <v>1847</v>
      </c>
    </row>
    <row r="1410" spans="6:6" x14ac:dyDescent="0.25">
      <c r="F1410" t="s">
        <v>1848</v>
      </c>
    </row>
    <row r="1411" spans="6:6" x14ac:dyDescent="0.25">
      <c r="F1411" t="s">
        <v>1849</v>
      </c>
    </row>
    <row r="1412" spans="6:6" x14ac:dyDescent="0.25">
      <c r="F1412" t="s">
        <v>1850</v>
      </c>
    </row>
    <row r="1413" spans="6:6" x14ac:dyDescent="0.25">
      <c r="F1413" t="s">
        <v>1851</v>
      </c>
    </row>
    <row r="1414" spans="6:6" x14ac:dyDescent="0.25">
      <c r="F1414" t="s">
        <v>1852</v>
      </c>
    </row>
    <row r="1415" spans="6:6" x14ac:dyDescent="0.25">
      <c r="F1415" t="s">
        <v>1853</v>
      </c>
    </row>
    <row r="1416" spans="6:6" x14ac:dyDescent="0.25">
      <c r="F1416" t="s">
        <v>1854</v>
      </c>
    </row>
    <row r="1417" spans="6:6" x14ac:dyDescent="0.25">
      <c r="F1417" t="s">
        <v>1855</v>
      </c>
    </row>
    <row r="1418" spans="6:6" x14ac:dyDescent="0.25">
      <c r="F1418" t="s">
        <v>1856</v>
      </c>
    </row>
    <row r="1419" spans="6:6" x14ac:dyDescent="0.25">
      <c r="F1419" t="s">
        <v>1857</v>
      </c>
    </row>
    <row r="1420" spans="6:6" x14ac:dyDescent="0.25">
      <c r="F1420" t="s">
        <v>1858</v>
      </c>
    </row>
    <row r="1421" spans="6:6" x14ac:dyDescent="0.25">
      <c r="F1421" t="s">
        <v>1859</v>
      </c>
    </row>
    <row r="1422" spans="6:6" x14ac:dyDescent="0.25">
      <c r="F1422" t="s">
        <v>989</v>
      </c>
    </row>
    <row r="1423" spans="6:6" x14ac:dyDescent="0.25">
      <c r="F1423" t="s">
        <v>1860</v>
      </c>
    </row>
    <row r="1424" spans="6:6" x14ac:dyDescent="0.25">
      <c r="F1424" t="s">
        <v>1861</v>
      </c>
    </row>
    <row r="1425" spans="6:6" x14ac:dyDescent="0.25">
      <c r="F1425" t="s">
        <v>1862</v>
      </c>
    </row>
    <row r="1426" spans="6:6" x14ac:dyDescent="0.25">
      <c r="F1426" t="s">
        <v>1863</v>
      </c>
    </row>
    <row r="1427" spans="6:6" x14ac:dyDescent="0.25">
      <c r="F1427" t="s">
        <v>96</v>
      </c>
    </row>
    <row r="1428" spans="6:6" x14ac:dyDescent="0.25">
      <c r="F1428" t="s">
        <v>1864</v>
      </c>
    </row>
    <row r="1429" spans="6:6" x14ac:dyDescent="0.25">
      <c r="F1429" t="s">
        <v>1865</v>
      </c>
    </row>
    <row r="1430" spans="6:6" x14ac:dyDescent="0.25">
      <c r="F1430" t="s">
        <v>1866</v>
      </c>
    </row>
    <row r="1431" spans="6:6" x14ac:dyDescent="0.25">
      <c r="F1431" t="s">
        <v>1867</v>
      </c>
    </row>
    <row r="1432" spans="6:6" x14ac:dyDescent="0.25">
      <c r="F1432" t="s">
        <v>1868</v>
      </c>
    </row>
    <row r="1433" spans="6:6" x14ac:dyDescent="0.25">
      <c r="F1433" t="s">
        <v>1869</v>
      </c>
    </row>
    <row r="1434" spans="6:6" x14ac:dyDescent="0.25">
      <c r="F1434" t="s">
        <v>1870</v>
      </c>
    </row>
    <row r="1435" spans="6:6" x14ac:dyDescent="0.25">
      <c r="F1435" t="s">
        <v>909</v>
      </c>
    </row>
    <row r="1436" spans="6:6" x14ac:dyDescent="0.25">
      <c r="F1436" t="s">
        <v>1871</v>
      </c>
    </row>
    <row r="1437" spans="6:6" x14ac:dyDescent="0.25">
      <c r="F1437" t="s">
        <v>1872</v>
      </c>
    </row>
    <row r="1438" spans="6:6" x14ac:dyDescent="0.25">
      <c r="F1438" t="s">
        <v>1873</v>
      </c>
    </row>
    <row r="1439" spans="6:6" x14ac:dyDescent="0.25">
      <c r="F1439" t="s">
        <v>1874</v>
      </c>
    </row>
    <row r="1440" spans="6:6" x14ac:dyDescent="0.25">
      <c r="F1440" t="s">
        <v>1875</v>
      </c>
    </row>
    <row r="1441" spans="6:6" x14ac:dyDescent="0.25">
      <c r="F1441" t="s">
        <v>1876</v>
      </c>
    </row>
    <row r="1442" spans="6:6" x14ac:dyDescent="0.25">
      <c r="F1442" t="s">
        <v>1877</v>
      </c>
    </row>
    <row r="1443" spans="6:6" x14ac:dyDescent="0.25">
      <c r="F1443" t="s">
        <v>1878</v>
      </c>
    </row>
    <row r="1444" spans="6:6" x14ac:dyDescent="0.25">
      <c r="F1444" t="s">
        <v>1879</v>
      </c>
    </row>
    <row r="1445" spans="6:6" x14ac:dyDescent="0.25">
      <c r="F1445" t="s">
        <v>1880</v>
      </c>
    </row>
    <row r="1446" spans="6:6" x14ac:dyDescent="0.25">
      <c r="F1446" t="s">
        <v>1881</v>
      </c>
    </row>
    <row r="1447" spans="6:6" x14ac:dyDescent="0.25">
      <c r="F1447" t="s">
        <v>1882</v>
      </c>
    </row>
    <row r="1448" spans="6:6" x14ac:dyDescent="0.25">
      <c r="F1448" t="s">
        <v>1883</v>
      </c>
    </row>
    <row r="1449" spans="6:6" x14ac:dyDescent="0.25">
      <c r="F1449" t="s">
        <v>1884</v>
      </c>
    </row>
    <row r="1450" spans="6:6" x14ac:dyDescent="0.25">
      <c r="F1450" t="s">
        <v>1885</v>
      </c>
    </row>
    <row r="1451" spans="6:6" x14ac:dyDescent="0.25">
      <c r="F1451" t="s">
        <v>1886</v>
      </c>
    </row>
    <row r="1452" spans="6:6" x14ac:dyDescent="0.25">
      <c r="F1452" t="s">
        <v>1887</v>
      </c>
    </row>
    <row r="1453" spans="6:6" x14ac:dyDescent="0.25">
      <c r="F1453" t="s">
        <v>1888</v>
      </c>
    </row>
    <row r="1454" spans="6:6" x14ac:dyDescent="0.25">
      <c r="F1454" t="s">
        <v>1889</v>
      </c>
    </row>
    <row r="1455" spans="6:6" x14ac:dyDescent="0.25">
      <c r="F1455" t="s">
        <v>1890</v>
      </c>
    </row>
    <row r="1456" spans="6:6" x14ac:dyDescent="0.25">
      <c r="F1456" t="s">
        <v>1891</v>
      </c>
    </row>
    <row r="1457" spans="6:6" x14ac:dyDescent="0.25">
      <c r="F1457" t="s">
        <v>1892</v>
      </c>
    </row>
    <row r="1458" spans="6:6" x14ac:dyDescent="0.25">
      <c r="F1458" t="s">
        <v>1893</v>
      </c>
    </row>
    <row r="1459" spans="6:6" x14ac:dyDescent="0.25">
      <c r="F1459" t="s">
        <v>1894</v>
      </c>
    </row>
    <row r="1460" spans="6:6" x14ac:dyDescent="0.25">
      <c r="F1460" t="s">
        <v>1895</v>
      </c>
    </row>
    <row r="1461" spans="6:6" x14ac:dyDescent="0.25">
      <c r="F1461" t="s">
        <v>1896</v>
      </c>
    </row>
    <row r="1462" spans="6:6" x14ac:dyDescent="0.25">
      <c r="F1462" t="s">
        <v>1897</v>
      </c>
    </row>
    <row r="1463" spans="6:6" x14ac:dyDescent="0.25">
      <c r="F1463" t="s">
        <v>1898</v>
      </c>
    </row>
    <row r="1464" spans="6:6" x14ac:dyDescent="0.25">
      <c r="F1464" t="s">
        <v>1899</v>
      </c>
    </row>
    <row r="1465" spans="6:6" x14ac:dyDescent="0.25">
      <c r="F1465" t="s">
        <v>1900</v>
      </c>
    </row>
    <row r="1466" spans="6:6" x14ac:dyDescent="0.25">
      <c r="F1466" t="s">
        <v>1901</v>
      </c>
    </row>
    <row r="1467" spans="6:6" x14ac:dyDescent="0.25">
      <c r="F1467" t="s">
        <v>1902</v>
      </c>
    </row>
    <row r="1468" spans="6:6" x14ac:dyDescent="0.25">
      <c r="F1468" t="s">
        <v>1903</v>
      </c>
    </row>
    <row r="1469" spans="6:6" x14ac:dyDescent="0.25">
      <c r="F1469" t="s">
        <v>1904</v>
      </c>
    </row>
    <row r="1470" spans="6:6" x14ac:dyDescent="0.25">
      <c r="F1470" t="s">
        <v>1905</v>
      </c>
    </row>
    <row r="1471" spans="6:6" x14ac:dyDescent="0.25">
      <c r="F1471" t="s">
        <v>1906</v>
      </c>
    </row>
    <row r="1472" spans="6:6" x14ac:dyDescent="0.25">
      <c r="F1472" t="s">
        <v>1907</v>
      </c>
    </row>
    <row r="1473" spans="6:6" x14ac:dyDescent="0.25">
      <c r="F1473" t="s">
        <v>1908</v>
      </c>
    </row>
    <row r="1474" spans="6:6" x14ac:dyDescent="0.25">
      <c r="F1474" t="s">
        <v>1909</v>
      </c>
    </row>
    <row r="1475" spans="6:6" x14ac:dyDescent="0.25">
      <c r="F1475" t="s">
        <v>1910</v>
      </c>
    </row>
    <row r="1476" spans="6:6" x14ac:dyDescent="0.25">
      <c r="F1476" t="s">
        <v>1911</v>
      </c>
    </row>
    <row r="1477" spans="6:6" x14ac:dyDescent="0.25">
      <c r="F1477" t="s">
        <v>1912</v>
      </c>
    </row>
    <row r="1478" spans="6:6" x14ac:dyDescent="0.25">
      <c r="F1478" t="s">
        <v>1913</v>
      </c>
    </row>
    <row r="1479" spans="6:6" x14ac:dyDescent="0.25">
      <c r="F1479" t="s">
        <v>1914</v>
      </c>
    </row>
    <row r="1480" spans="6:6" x14ac:dyDescent="0.25">
      <c r="F1480" t="s">
        <v>1915</v>
      </c>
    </row>
    <row r="1481" spans="6:6" x14ac:dyDescent="0.25">
      <c r="F1481" t="s">
        <v>1916</v>
      </c>
    </row>
    <row r="1482" spans="6:6" x14ac:dyDescent="0.25">
      <c r="F1482" t="s">
        <v>1917</v>
      </c>
    </row>
    <row r="1483" spans="6:6" x14ac:dyDescent="0.25">
      <c r="F1483" t="s">
        <v>1918</v>
      </c>
    </row>
    <row r="1484" spans="6:6" x14ac:dyDescent="0.25">
      <c r="F1484" t="s">
        <v>1919</v>
      </c>
    </row>
    <row r="1485" spans="6:6" x14ac:dyDescent="0.25">
      <c r="F1485" t="s">
        <v>1920</v>
      </c>
    </row>
    <row r="1486" spans="6:6" x14ac:dyDescent="0.25">
      <c r="F1486" t="s">
        <v>1921</v>
      </c>
    </row>
    <row r="1487" spans="6:6" x14ac:dyDescent="0.25">
      <c r="F1487" t="s">
        <v>1922</v>
      </c>
    </row>
    <row r="1488" spans="6:6" x14ac:dyDescent="0.25">
      <c r="F1488" t="s">
        <v>1923</v>
      </c>
    </row>
    <row r="1489" spans="6:6" x14ac:dyDescent="0.25">
      <c r="F1489" t="s">
        <v>1924</v>
      </c>
    </row>
    <row r="1490" spans="6:6" x14ac:dyDescent="0.25">
      <c r="F1490" t="s">
        <v>1925</v>
      </c>
    </row>
    <row r="1491" spans="6:6" x14ac:dyDescent="0.25">
      <c r="F1491" t="s">
        <v>1926</v>
      </c>
    </row>
    <row r="1492" spans="6:6" x14ac:dyDescent="0.25">
      <c r="F1492" t="s">
        <v>1927</v>
      </c>
    </row>
    <row r="1493" spans="6:6" x14ac:dyDescent="0.25">
      <c r="F1493" t="s">
        <v>1928</v>
      </c>
    </row>
    <row r="1494" spans="6:6" x14ac:dyDescent="0.25">
      <c r="F1494" t="s">
        <v>1929</v>
      </c>
    </row>
    <row r="1495" spans="6:6" x14ac:dyDescent="0.25">
      <c r="F1495" t="s">
        <v>1930</v>
      </c>
    </row>
    <row r="1496" spans="6:6" x14ac:dyDescent="0.25">
      <c r="F1496" t="s">
        <v>1931</v>
      </c>
    </row>
    <row r="1497" spans="6:6" x14ac:dyDescent="0.25">
      <c r="F1497" t="s">
        <v>1932</v>
      </c>
    </row>
    <row r="1498" spans="6:6" x14ac:dyDescent="0.25">
      <c r="F1498" t="s">
        <v>1933</v>
      </c>
    </row>
    <row r="1499" spans="6:6" x14ac:dyDescent="0.25">
      <c r="F1499" t="s">
        <v>1934</v>
      </c>
    </row>
    <row r="1500" spans="6:6" x14ac:dyDescent="0.25">
      <c r="F1500" t="s">
        <v>1935</v>
      </c>
    </row>
    <row r="1501" spans="6:6" x14ac:dyDescent="0.25">
      <c r="F1501" t="s">
        <v>1936</v>
      </c>
    </row>
    <row r="1502" spans="6:6" x14ac:dyDescent="0.25">
      <c r="F1502" t="s">
        <v>1937</v>
      </c>
    </row>
    <row r="1503" spans="6:6" x14ac:dyDescent="0.25">
      <c r="F1503" t="s">
        <v>1938</v>
      </c>
    </row>
    <row r="1504" spans="6:6" x14ac:dyDescent="0.25">
      <c r="F1504" t="s">
        <v>1939</v>
      </c>
    </row>
    <row r="1505" spans="6:6" x14ac:dyDescent="0.25">
      <c r="F1505" t="s">
        <v>1940</v>
      </c>
    </row>
    <row r="1506" spans="6:6" x14ac:dyDescent="0.25">
      <c r="F1506" t="s">
        <v>1941</v>
      </c>
    </row>
    <row r="1507" spans="6:6" x14ac:dyDescent="0.25">
      <c r="F1507" t="s">
        <v>1942</v>
      </c>
    </row>
    <row r="1508" spans="6:6" x14ac:dyDescent="0.25">
      <c r="F1508" t="s">
        <v>1943</v>
      </c>
    </row>
    <row r="1509" spans="6:6" x14ac:dyDescent="0.25">
      <c r="F1509" t="s">
        <v>1944</v>
      </c>
    </row>
    <row r="1510" spans="6:6" x14ac:dyDescent="0.25">
      <c r="F1510" t="s">
        <v>1945</v>
      </c>
    </row>
    <row r="1511" spans="6:6" x14ac:dyDescent="0.25">
      <c r="F1511" t="s">
        <v>1946</v>
      </c>
    </row>
    <row r="1512" spans="6:6" x14ac:dyDescent="0.25">
      <c r="F1512" t="s">
        <v>1947</v>
      </c>
    </row>
    <row r="1513" spans="6:6" x14ac:dyDescent="0.25">
      <c r="F1513" t="s">
        <v>1948</v>
      </c>
    </row>
    <row r="1514" spans="6:6" x14ac:dyDescent="0.25">
      <c r="F1514" t="s">
        <v>1949</v>
      </c>
    </row>
    <row r="1515" spans="6:6" x14ac:dyDescent="0.25">
      <c r="F1515" t="s">
        <v>1950</v>
      </c>
    </row>
    <row r="1516" spans="6:6" x14ac:dyDescent="0.25">
      <c r="F1516" t="s">
        <v>1951</v>
      </c>
    </row>
    <row r="1517" spans="6:6" x14ac:dyDescent="0.25">
      <c r="F1517" t="s">
        <v>1952</v>
      </c>
    </row>
    <row r="1518" spans="6:6" x14ac:dyDescent="0.25">
      <c r="F1518" t="s">
        <v>1953</v>
      </c>
    </row>
    <row r="1519" spans="6:6" x14ac:dyDescent="0.25">
      <c r="F1519" t="s">
        <v>1954</v>
      </c>
    </row>
    <row r="1520" spans="6:6" x14ac:dyDescent="0.25">
      <c r="F1520" t="s">
        <v>1955</v>
      </c>
    </row>
    <row r="1521" spans="6:6" x14ac:dyDescent="0.25">
      <c r="F1521" t="s">
        <v>1956</v>
      </c>
    </row>
    <row r="1522" spans="6:6" x14ac:dyDescent="0.25">
      <c r="F1522" t="s">
        <v>1957</v>
      </c>
    </row>
    <row r="1523" spans="6:6" x14ac:dyDescent="0.25">
      <c r="F1523" t="s">
        <v>1958</v>
      </c>
    </row>
    <row r="1524" spans="6:6" x14ac:dyDescent="0.25">
      <c r="F1524" t="s">
        <v>1959</v>
      </c>
    </row>
    <row r="1525" spans="6:6" x14ac:dyDescent="0.25">
      <c r="F1525" t="s">
        <v>1960</v>
      </c>
    </row>
    <row r="1526" spans="6:6" x14ac:dyDescent="0.25">
      <c r="F1526" t="s">
        <v>1961</v>
      </c>
    </row>
    <row r="1527" spans="6:6" x14ac:dyDescent="0.25">
      <c r="F1527" t="s">
        <v>1962</v>
      </c>
    </row>
    <row r="1528" spans="6:6" x14ac:dyDescent="0.25">
      <c r="F1528" t="s">
        <v>1963</v>
      </c>
    </row>
    <row r="1529" spans="6:6" x14ac:dyDescent="0.25">
      <c r="F1529" t="s">
        <v>1964</v>
      </c>
    </row>
    <row r="1530" spans="6:6" x14ac:dyDescent="0.25">
      <c r="F1530" t="s">
        <v>1965</v>
      </c>
    </row>
    <row r="1531" spans="6:6" x14ac:dyDescent="0.25">
      <c r="F1531" t="s">
        <v>1966</v>
      </c>
    </row>
    <row r="1532" spans="6:6" x14ac:dyDescent="0.25">
      <c r="F1532" t="s">
        <v>1967</v>
      </c>
    </row>
    <row r="1533" spans="6:6" x14ac:dyDescent="0.25">
      <c r="F1533" t="s">
        <v>1968</v>
      </c>
    </row>
    <row r="1534" spans="6:6" x14ac:dyDescent="0.25">
      <c r="F1534" t="s">
        <v>1969</v>
      </c>
    </row>
    <row r="1535" spans="6:6" x14ac:dyDescent="0.25">
      <c r="F1535" t="s">
        <v>1970</v>
      </c>
    </row>
    <row r="1536" spans="6:6" x14ac:dyDescent="0.25">
      <c r="F1536" t="s">
        <v>1971</v>
      </c>
    </row>
    <row r="1537" spans="6:6" x14ac:dyDescent="0.25">
      <c r="F1537" t="s">
        <v>1972</v>
      </c>
    </row>
    <row r="1538" spans="6:6" x14ac:dyDescent="0.25">
      <c r="F1538" t="s">
        <v>1973</v>
      </c>
    </row>
    <row r="1539" spans="6:6" x14ac:dyDescent="0.25">
      <c r="F1539" t="s">
        <v>1974</v>
      </c>
    </row>
    <row r="1540" spans="6:6" x14ac:dyDescent="0.25">
      <c r="F1540" t="s">
        <v>1975</v>
      </c>
    </row>
    <row r="1541" spans="6:6" x14ac:dyDescent="0.25">
      <c r="F1541" t="s">
        <v>1976</v>
      </c>
    </row>
    <row r="1542" spans="6:6" x14ac:dyDescent="0.25">
      <c r="F1542" t="s">
        <v>1977</v>
      </c>
    </row>
    <row r="1543" spans="6:6" x14ac:dyDescent="0.25">
      <c r="F1543" t="s">
        <v>1978</v>
      </c>
    </row>
    <row r="1544" spans="6:6" x14ac:dyDescent="0.25">
      <c r="F1544" t="s">
        <v>1979</v>
      </c>
    </row>
    <row r="1545" spans="6:6" x14ac:dyDescent="0.25">
      <c r="F1545" t="s">
        <v>1980</v>
      </c>
    </row>
    <row r="1546" spans="6:6" x14ac:dyDescent="0.25">
      <c r="F1546" t="s">
        <v>1981</v>
      </c>
    </row>
    <row r="1547" spans="6:6" x14ac:dyDescent="0.25">
      <c r="F1547" t="s">
        <v>1982</v>
      </c>
    </row>
    <row r="1548" spans="6:6" x14ac:dyDescent="0.25">
      <c r="F1548" t="s">
        <v>1983</v>
      </c>
    </row>
    <row r="1549" spans="6:6" x14ac:dyDescent="0.25">
      <c r="F1549" t="s">
        <v>1984</v>
      </c>
    </row>
    <row r="1550" spans="6:6" x14ac:dyDescent="0.25">
      <c r="F1550" t="s">
        <v>1985</v>
      </c>
    </row>
    <row r="1551" spans="6:6" x14ac:dyDescent="0.25">
      <c r="F1551" t="s">
        <v>1986</v>
      </c>
    </row>
    <row r="1552" spans="6:6" x14ac:dyDescent="0.25">
      <c r="F1552" t="s">
        <v>1987</v>
      </c>
    </row>
    <row r="1553" spans="6:6" x14ac:dyDescent="0.25">
      <c r="F1553" t="s">
        <v>1988</v>
      </c>
    </row>
    <row r="1554" spans="6:6" x14ac:dyDescent="0.25">
      <c r="F1554" t="s">
        <v>1989</v>
      </c>
    </row>
    <row r="1555" spans="6:6" x14ac:dyDescent="0.25">
      <c r="F1555" t="s">
        <v>1990</v>
      </c>
    </row>
    <row r="1556" spans="6:6" x14ac:dyDescent="0.25">
      <c r="F1556" t="s">
        <v>1991</v>
      </c>
    </row>
    <row r="1557" spans="6:6" x14ac:dyDescent="0.25">
      <c r="F1557" t="s">
        <v>1992</v>
      </c>
    </row>
    <row r="1558" spans="6:6" x14ac:dyDescent="0.25">
      <c r="F1558" t="s">
        <v>1993</v>
      </c>
    </row>
    <row r="1559" spans="6:6" x14ac:dyDescent="0.25">
      <c r="F1559" t="s">
        <v>1994</v>
      </c>
    </row>
    <row r="1560" spans="6:6" x14ac:dyDescent="0.25">
      <c r="F1560" t="s">
        <v>1995</v>
      </c>
    </row>
    <row r="1561" spans="6:6" x14ac:dyDescent="0.25">
      <c r="F1561" t="s">
        <v>1996</v>
      </c>
    </row>
    <row r="1562" spans="6:6" x14ac:dyDescent="0.25">
      <c r="F1562" t="s">
        <v>1997</v>
      </c>
    </row>
    <row r="1563" spans="6:6" x14ac:dyDescent="0.25">
      <c r="F1563" t="s">
        <v>1998</v>
      </c>
    </row>
    <row r="1564" spans="6:6" x14ac:dyDescent="0.25">
      <c r="F1564" t="s">
        <v>1999</v>
      </c>
    </row>
    <row r="1565" spans="6:6" x14ac:dyDescent="0.25">
      <c r="F1565" t="s">
        <v>2000</v>
      </c>
    </row>
    <row r="1566" spans="6:6" x14ac:dyDescent="0.25">
      <c r="F1566" t="s">
        <v>2001</v>
      </c>
    </row>
    <row r="1567" spans="6:6" x14ac:dyDescent="0.25">
      <c r="F1567" t="s">
        <v>2002</v>
      </c>
    </row>
    <row r="1568" spans="6:6" x14ac:dyDescent="0.25">
      <c r="F1568" t="s">
        <v>2003</v>
      </c>
    </row>
    <row r="1569" spans="6:6" x14ac:dyDescent="0.25">
      <c r="F1569" t="s">
        <v>2004</v>
      </c>
    </row>
    <row r="1570" spans="6:6" x14ac:dyDescent="0.25">
      <c r="F1570" t="s">
        <v>2005</v>
      </c>
    </row>
    <row r="1571" spans="6:6" x14ac:dyDescent="0.25">
      <c r="F1571" t="s">
        <v>2006</v>
      </c>
    </row>
    <row r="1572" spans="6:6" x14ac:dyDescent="0.25">
      <c r="F1572" t="s">
        <v>2007</v>
      </c>
    </row>
    <row r="1573" spans="6:6" x14ac:dyDescent="0.25">
      <c r="F1573" t="s">
        <v>2008</v>
      </c>
    </row>
    <row r="1574" spans="6:6" x14ac:dyDescent="0.25">
      <c r="F1574" t="s">
        <v>2009</v>
      </c>
    </row>
    <row r="1575" spans="6:6" x14ac:dyDescent="0.25">
      <c r="F1575" t="s">
        <v>134</v>
      </c>
    </row>
    <row r="1576" spans="6:6" x14ac:dyDescent="0.25">
      <c r="F1576" t="s">
        <v>2010</v>
      </c>
    </row>
    <row r="1577" spans="6:6" x14ac:dyDescent="0.25">
      <c r="F1577" t="s">
        <v>2011</v>
      </c>
    </row>
    <row r="1578" spans="6:6" x14ac:dyDescent="0.25">
      <c r="F1578" t="s">
        <v>2012</v>
      </c>
    </row>
    <row r="1579" spans="6:6" x14ac:dyDescent="0.25">
      <c r="F1579" t="s">
        <v>2013</v>
      </c>
    </row>
    <row r="1580" spans="6:6" x14ac:dyDescent="0.25">
      <c r="F1580" t="s">
        <v>2014</v>
      </c>
    </row>
    <row r="1581" spans="6:6" x14ac:dyDescent="0.25">
      <c r="F1581" t="s">
        <v>2015</v>
      </c>
    </row>
    <row r="1582" spans="6:6" x14ac:dyDescent="0.25">
      <c r="F1582" t="s">
        <v>2016</v>
      </c>
    </row>
    <row r="1583" spans="6:6" x14ac:dyDescent="0.25">
      <c r="F1583" t="s">
        <v>2017</v>
      </c>
    </row>
    <row r="1584" spans="6:6" x14ac:dyDescent="0.25">
      <c r="F1584" t="s">
        <v>2018</v>
      </c>
    </row>
    <row r="1585" spans="6:6" x14ac:dyDescent="0.25">
      <c r="F1585" t="s">
        <v>2019</v>
      </c>
    </row>
    <row r="1586" spans="6:6" x14ac:dyDescent="0.25">
      <c r="F1586" t="s">
        <v>2020</v>
      </c>
    </row>
    <row r="1587" spans="6:6" x14ac:dyDescent="0.25">
      <c r="F1587" t="s">
        <v>2021</v>
      </c>
    </row>
    <row r="1588" spans="6:6" x14ac:dyDescent="0.25">
      <c r="F1588" t="s">
        <v>2022</v>
      </c>
    </row>
    <row r="1589" spans="6:6" x14ac:dyDescent="0.25">
      <c r="F1589" t="s">
        <v>2023</v>
      </c>
    </row>
    <row r="1590" spans="6:6" x14ac:dyDescent="0.25">
      <c r="F1590" t="s">
        <v>2024</v>
      </c>
    </row>
    <row r="1591" spans="6:6" x14ac:dyDescent="0.25">
      <c r="F1591" t="s">
        <v>2025</v>
      </c>
    </row>
    <row r="1592" spans="6:6" x14ac:dyDescent="0.25">
      <c r="F1592" t="s">
        <v>2026</v>
      </c>
    </row>
    <row r="1593" spans="6:6" x14ac:dyDescent="0.25">
      <c r="F1593" t="s">
        <v>2027</v>
      </c>
    </row>
    <row r="1594" spans="6:6" x14ac:dyDescent="0.25">
      <c r="F1594" t="s">
        <v>2028</v>
      </c>
    </row>
    <row r="1595" spans="6:6" x14ac:dyDescent="0.25">
      <c r="F1595" t="s">
        <v>2029</v>
      </c>
    </row>
    <row r="1596" spans="6:6" x14ac:dyDescent="0.25">
      <c r="F1596" t="s">
        <v>2030</v>
      </c>
    </row>
    <row r="1597" spans="6:6" x14ac:dyDescent="0.25">
      <c r="F1597" t="s">
        <v>2031</v>
      </c>
    </row>
    <row r="1598" spans="6:6" x14ac:dyDescent="0.25">
      <c r="F1598" t="s">
        <v>2032</v>
      </c>
    </row>
    <row r="1599" spans="6:6" x14ac:dyDescent="0.25">
      <c r="F1599" t="s">
        <v>2033</v>
      </c>
    </row>
    <row r="1600" spans="6:6" x14ac:dyDescent="0.25">
      <c r="F1600" t="s">
        <v>946</v>
      </c>
    </row>
    <row r="1601" spans="6:6" x14ac:dyDescent="0.25">
      <c r="F1601" t="s">
        <v>2034</v>
      </c>
    </row>
    <row r="1602" spans="6:6" x14ac:dyDescent="0.25">
      <c r="F1602" t="s">
        <v>2035</v>
      </c>
    </row>
    <row r="1603" spans="6:6" x14ac:dyDescent="0.25">
      <c r="F1603" t="s">
        <v>2036</v>
      </c>
    </row>
    <row r="1604" spans="6:6" x14ac:dyDescent="0.25">
      <c r="F1604" t="s">
        <v>2037</v>
      </c>
    </row>
    <row r="1605" spans="6:6" x14ac:dyDescent="0.25">
      <c r="F1605" t="s">
        <v>2038</v>
      </c>
    </row>
    <row r="1606" spans="6:6" x14ac:dyDescent="0.25">
      <c r="F1606" t="s">
        <v>2039</v>
      </c>
    </row>
    <row r="1607" spans="6:6" x14ac:dyDescent="0.25">
      <c r="F1607" t="s">
        <v>2040</v>
      </c>
    </row>
    <row r="1608" spans="6:6" x14ac:dyDescent="0.25">
      <c r="F1608" t="s">
        <v>2041</v>
      </c>
    </row>
    <row r="1609" spans="6:6" x14ac:dyDescent="0.25">
      <c r="F1609" t="s">
        <v>2042</v>
      </c>
    </row>
    <row r="1610" spans="6:6" x14ac:dyDescent="0.25">
      <c r="F1610" t="s">
        <v>2043</v>
      </c>
    </row>
    <row r="1611" spans="6:6" x14ac:dyDescent="0.25">
      <c r="F1611" t="s">
        <v>2044</v>
      </c>
    </row>
    <row r="1612" spans="6:6" x14ac:dyDescent="0.25">
      <c r="F1612" t="s">
        <v>2045</v>
      </c>
    </row>
    <row r="1613" spans="6:6" x14ac:dyDescent="0.25">
      <c r="F1613" t="s">
        <v>2046</v>
      </c>
    </row>
    <row r="1614" spans="6:6" x14ac:dyDescent="0.25">
      <c r="F1614" t="s">
        <v>2047</v>
      </c>
    </row>
    <row r="1615" spans="6:6" x14ac:dyDescent="0.25">
      <c r="F1615" t="s">
        <v>2048</v>
      </c>
    </row>
    <row r="1616" spans="6:6" x14ac:dyDescent="0.25">
      <c r="F1616" t="s">
        <v>2049</v>
      </c>
    </row>
    <row r="1617" spans="6:6" x14ac:dyDescent="0.25">
      <c r="F1617" t="s">
        <v>2050</v>
      </c>
    </row>
    <row r="1618" spans="6:6" x14ac:dyDescent="0.25">
      <c r="F1618" t="s">
        <v>2051</v>
      </c>
    </row>
    <row r="1619" spans="6:6" x14ac:dyDescent="0.25">
      <c r="F1619" t="s">
        <v>2052</v>
      </c>
    </row>
    <row r="1620" spans="6:6" x14ac:dyDescent="0.25">
      <c r="F1620" t="s">
        <v>2053</v>
      </c>
    </row>
    <row r="1621" spans="6:6" x14ac:dyDescent="0.25">
      <c r="F1621" t="s">
        <v>2054</v>
      </c>
    </row>
    <row r="1622" spans="6:6" x14ac:dyDescent="0.25">
      <c r="F1622" t="s">
        <v>2055</v>
      </c>
    </row>
    <row r="1623" spans="6:6" x14ac:dyDescent="0.25">
      <c r="F1623" t="s">
        <v>2056</v>
      </c>
    </row>
    <row r="1624" spans="6:6" x14ac:dyDescent="0.25">
      <c r="F1624" t="s">
        <v>2057</v>
      </c>
    </row>
    <row r="1625" spans="6:6" x14ac:dyDescent="0.25">
      <c r="F1625" t="s">
        <v>2058</v>
      </c>
    </row>
    <row r="1626" spans="6:6" x14ac:dyDescent="0.25">
      <c r="F1626" t="s">
        <v>2059</v>
      </c>
    </row>
    <row r="1627" spans="6:6" x14ac:dyDescent="0.25">
      <c r="F1627" t="s">
        <v>2060</v>
      </c>
    </row>
    <row r="1628" spans="6:6" x14ac:dyDescent="0.25">
      <c r="F1628" t="s">
        <v>2061</v>
      </c>
    </row>
    <row r="1629" spans="6:6" x14ac:dyDescent="0.25">
      <c r="F1629" t="s">
        <v>2062</v>
      </c>
    </row>
    <row r="1630" spans="6:6" x14ac:dyDescent="0.25">
      <c r="F1630" t="s">
        <v>2063</v>
      </c>
    </row>
    <row r="1631" spans="6:6" x14ac:dyDescent="0.25">
      <c r="F1631" t="s">
        <v>2064</v>
      </c>
    </row>
    <row r="1632" spans="6:6" x14ac:dyDescent="0.25">
      <c r="F1632" t="s">
        <v>2065</v>
      </c>
    </row>
    <row r="1633" spans="6:6" x14ac:dyDescent="0.25">
      <c r="F1633" t="s">
        <v>2066</v>
      </c>
    </row>
    <row r="1634" spans="6:6" x14ac:dyDescent="0.25">
      <c r="F1634" t="s">
        <v>2067</v>
      </c>
    </row>
    <row r="1635" spans="6:6" x14ac:dyDescent="0.25">
      <c r="F1635" t="s">
        <v>2068</v>
      </c>
    </row>
    <row r="1636" spans="6:6" x14ac:dyDescent="0.25">
      <c r="F1636" t="s">
        <v>2069</v>
      </c>
    </row>
    <row r="1637" spans="6:6" x14ac:dyDescent="0.25">
      <c r="F1637" t="s">
        <v>2070</v>
      </c>
    </row>
    <row r="1638" spans="6:6" x14ac:dyDescent="0.25">
      <c r="F1638" t="s">
        <v>2071</v>
      </c>
    </row>
    <row r="1639" spans="6:6" x14ac:dyDescent="0.25">
      <c r="F1639" t="s">
        <v>2072</v>
      </c>
    </row>
    <row r="1640" spans="6:6" x14ac:dyDescent="0.25">
      <c r="F1640" t="s">
        <v>2073</v>
      </c>
    </row>
    <row r="1641" spans="6:6" x14ac:dyDescent="0.25">
      <c r="F1641" t="s">
        <v>2074</v>
      </c>
    </row>
    <row r="1642" spans="6:6" x14ac:dyDescent="0.25">
      <c r="F1642" t="s">
        <v>2075</v>
      </c>
    </row>
    <row r="1643" spans="6:6" x14ac:dyDescent="0.25">
      <c r="F1643" t="s">
        <v>2076</v>
      </c>
    </row>
    <row r="1644" spans="6:6" x14ac:dyDescent="0.25">
      <c r="F1644" t="s">
        <v>2077</v>
      </c>
    </row>
    <row r="1645" spans="6:6" x14ac:dyDescent="0.25">
      <c r="F1645" t="s">
        <v>2078</v>
      </c>
    </row>
    <row r="1646" spans="6:6" x14ac:dyDescent="0.25">
      <c r="F1646" t="s">
        <v>2079</v>
      </c>
    </row>
    <row r="1647" spans="6:6" x14ac:dyDescent="0.25">
      <c r="F1647" t="s">
        <v>2080</v>
      </c>
    </row>
    <row r="1648" spans="6:6" x14ac:dyDescent="0.25">
      <c r="F1648" t="s">
        <v>2081</v>
      </c>
    </row>
    <row r="1649" spans="6:6" x14ac:dyDescent="0.25">
      <c r="F1649" t="s">
        <v>2082</v>
      </c>
    </row>
    <row r="1650" spans="6:6" x14ac:dyDescent="0.25">
      <c r="F1650" t="s">
        <v>2083</v>
      </c>
    </row>
    <row r="1651" spans="6:6" x14ac:dyDescent="0.25">
      <c r="F1651" t="s">
        <v>2084</v>
      </c>
    </row>
    <row r="1652" spans="6:6" x14ac:dyDescent="0.25">
      <c r="F1652" t="s">
        <v>2085</v>
      </c>
    </row>
    <row r="1653" spans="6:6" x14ac:dyDescent="0.25">
      <c r="F1653" t="s">
        <v>2086</v>
      </c>
    </row>
    <row r="1654" spans="6:6" x14ac:dyDescent="0.25">
      <c r="F1654" t="s">
        <v>2087</v>
      </c>
    </row>
    <row r="1655" spans="6:6" x14ac:dyDescent="0.25">
      <c r="F1655" t="s">
        <v>2088</v>
      </c>
    </row>
    <row r="1656" spans="6:6" x14ac:dyDescent="0.25">
      <c r="F1656" t="s">
        <v>2089</v>
      </c>
    </row>
    <row r="1657" spans="6:6" x14ac:dyDescent="0.25">
      <c r="F1657" t="s">
        <v>2090</v>
      </c>
    </row>
    <row r="1658" spans="6:6" x14ac:dyDescent="0.25">
      <c r="F1658" t="s">
        <v>2091</v>
      </c>
    </row>
    <row r="1659" spans="6:6" x14ac:dyDescent="0.25">
      <c r="F1659" t="s">
        <v>2092</v>
      </c>
    </row>
    <row r="1660" spans="6:6" x14ac:dyDescent="0.25">
      <c r="F1660" t="s">
        <v>2093</v>
      </c>
    </row>
    <row r="1661" spans="6:6" x14ac:dyDescent="0.25">
      <c r="F1661" t="s">
        <v>2094</v>
      </c>
    </row>
    <row r="1662" spans="6:6" x14ac:dyDescent="0.25">
      <c r="F1662" t="s">
        <v>2095</v>
      </c>
    </row>
    <row r="1663" spans="6:6" x14ac:dyDescent="0.25">
      <c r="F1663" t="s">
        <v>2096</v>
      </c>
    </row>
    <row r="1664" spans="6:6" x14ac:dyDescent="0.25">
      <c r="F1664" t="s">
        <v>1006</v>
      </c>
    </row>
    <row r="1665" spans="6:6" x14ac:dyDescent="0.25">
      <c r="F1665" t="s">
        <v>2097</v>
      </c>
    </row>
    <row r="1666" spans="6:6" x14ac:dyDescent="0.25">
      <c r="F1666" t="s">
        <v>971</v>
      </c>
    </row>
    <row r="1667" spans="6:6" x14ac:dyDescent="0.25">
      <c r="F1667" t="s">
        <v>2098</v>
      </c>
    </row>
    <row r="1668" spans="6:6" x14ac:dyDescent="0.25">
      <c r="F1668" t="s">
        <v>2099</v>
      </c>
    </row>
    <row r="1669" spans="6:6" x14ac:dyDescent="0.25">
      <c r="F1669" t="s">
        <v>2100</v>
      </c>
    </row>
    <row r="1670" spans="6:6" x14ac:dyDescent="0.25">
      <c r="F1670" t="s">
        <v>2101</v>
      </c>
    </row>
    <row r="1671" spans="6:6" x14ac:dyDescent="0.25">
      <c r="F1671" t="s">
        <v>2102</v>
      </c>
    </row>
    <row r="1672" spans="6:6" x14ac:dyDescent="0.25">
      <c r="F1672" t="s">
        <v>2103</v>
      </c>
    </row>
    <row r="1673" spans="6:6" x14ac:dyDescent="0.25">
      <c r="F1673" t="s">
        <v>2104</v>
      </c>
    </row>
    <row r="1674" spans="6:6" x14ac:dyDescent="0.25">
      <c r="F1674" t="s">
        <v>2105</v>
      </c>
    </row>
    <row r="1675" spans="6:6" x14ac:dyDescent="0.25">
      <c r="F1675" t="s">
        <v>2106</v>
      </c>
    </row>
    <row r="1676" spans="6:6" x14ac:dyDescent="0.25">
      <c r="F1676" t="s">
        <v>2107</v>
      </c>
    </row>
    <row r="1677" spans="6:6" x14ac:dyDescent="0.25">
      <c r="F1677" t="s">
        <v>2108</v>
      </c>
    </row>
    <row r="1678" spans="6:6" x14ac:dyDescent="0.25">
      <c r="F1678" t="s">
        <v>2109</v>
      </c>
    </row>
    <row r="1679" spans="6:6" x14ac:dyDescent="0.25">
      <c r="F1679" t="s">
        <v>2110</v>
      </c>
    </row>
    <row r="1680" spans="6:6" x14ac:dyDescent="0.25">
      <c r="F1680" t="s">
        <v>2111</v>
      </c>
    </row>
    <row r="1681" spans="6:6" x14ac:dyDescent="0.25">
      <c r="F1681" t="s">
        <v>2112</v>
      </c>
    </row>
    <row r="1682" spans="6:6" x14ac:dyDescent="0.25">
      <c r="F1682" t="s">
        <v>2113</v>
      </c>
    </row>
    <row r="1683" spans="6:6" x14ac:dyDescent="0.25">
      <c r="F1683" t="s">
        <v>2114</v>
      </c>
    </row>
    <row r="1684" spans="6:6" x14ac:dyDescent="0.25">
      <c r="F1684" t="s">
        <v>2115</v>
      </c>
    </row>
    <row r="1685" spans="6:6" x14ac:dyDescent="0.25">
      <c r="F1685" t="s">
        <v>2116</v>
      </c>
    </row>
    <row r="1686" spans="6:6" x14ac:dyDescent="0.25">
      <c r="F1686" t="s">
        <v>2117</v>
      </c>
    </row>
    <row r="1687" spans="6:6" x14ac:dyDescent="0.25">
      <c r="F1687" t="s">
        <v>2118</v>
      </c>
    </row>
    <row r="1688" spans="6:6" x14ac:dyDescent="0.25">
      <c r="F1688" t="s">
        <v>2119</v>
      </c>
    </row>
    <row r="1689" spans="6:6" x14ac:dyDescent="0.25">
      <c r="F1689" t="s">
        <v>2120</v>
      </c>
    </row>
    <row r="1690" spans="6:6" x14ac:dyDescent="0.25">
      <c r="F1690" t="s">
        <v>2121</v>
      </c>
    </row>
    <row r="1691" spans="6:6" x14ac:dyDescent="0.25">
      <c r="F1691" t="s">
        <v>2122</v>
      </c>
    </row>
    <row r="1692" spans="6:6" x14ac:dyDescent="0.25">
      <c r="F1692" t="s">
        <v>2123</v>
      </c>
    </row>
    <row r="1693" spans="6:6" x14ac:dyDescent="0.25">
      <c r="F1693" t="s">
        <v>2124</v>
      </c>
    </row>
    <row r="1694" spans="6:6" x14ac:dyDescent="0.25">
      <c r="F1694" t="s">
        <v>2125</v>
      </c>
    </row>
    <row r="1695" spans="6:6" x14ac:dyDescent="0.25">
      <c r="F1695" t="s">
        <v>2126</v>
      </c>
    </row>
    <row r="1696" spans="6:6" x14ac:dyDescent="0.25">
      <c r="F1696" t="s">
        <v>2127</v>
      </c>
    </row>
    <row r="1697" spans="6:6" x14ac:dyDescent="0.25">
      <c r="F1697" t="s">
        <v>2128</v>
      </c>
    </row>
    <row r="1698" spans="6:6" x14ac:dyDescent="0.25">
      <c r="F1698" t="s">
        <v>2129</v>
      </c>
    </row>
    <row r="1699" spans="6:6" x14ac:dyDescent="0.25">
      <c r="F1699" t="s">
        <v>2130</v>
      </c>
    </row>
    <row r="1700" spans="6:6" x14ac:dyDescent="0.25">
      <c r="F1700" t="s">
        <v>2131</v>
      </c>
    </row>
    <row r="1701" spans="6:6" x14ac:dyDescent="0.25">
      <c r="F1701" t="s">
        <v>2132</v>
      </c>
    </row>
    <row r="1702" spans="6:6" x14ac:dyDescent="0.25">
      <c r="F1702" t="s">
        <v>2133</v>
      </c>
    </row>
    <row r="1703" spans="6:6" x14ac:dyDescent="0.25">
      <c r="F1703" t="s">
        <v>2134</v>
      </c>
    </row>
    <row r="1704" spans="6:6" x14ac:dyDescent="0.25">
      <c r="F1704" t="s">
        <v>2135</v>
      </c>
    </row>
    <row r="1705" spans="6:6" x14ac:dyDescent="0.25">
      <c r="F1705" t="s">
        <v>2136</v>
      </c>
    </row>
    <row r="1706" spans="6:6" x14ac:dyDescent="0.25">
      <c r="F1706" t="s">
        <v>2137</v>
      </c>
    </row>
    <row r="1707" spans="6:6" x14ac:dyDescent="0.25">
      <c r="F1707" t="s">
        <v>2138</v>
      </c>
    </row>
    <row r="1708" spans="6:6" x14ac:dyDescent="0.25">
      <c r="F1708" t="s">
        <v>2139</v>
      </c>
    </row>
    <row r="1709" spans="6:6" x14ac:dyDescent="0.25">
      <c r="F1709" t="s">
        <v>2140</v>
      </c>
    </row>
    <row r="1710" spans="6:6" x14ac:dyDescent="0.25">
      <c r="F1710" t="s">
        <v>2141</v>
      </c>
    </row>
    <row r="1711" spans="6:6" x14ac:dyDescent="0.25">
      <c r="F1711" t="s">
        <v>2142</v>
      </c>
    </row>
    <row r="1712" spans="6:6" x14ac:dyDescent="0.25">
      <c r="F1712" t="s">
        <v>2143</v>
      </c>
    </row>
    <row r="1713" spans="6:6" x14ac:dyDescent="0.25">
      <c r="F1713" t="s">
        <v>2144</v>
      </c>
    </row>
    <row r="1714" spans="6:6" x14ac:dyDescent="0.25">
      <c r="F1714" t="s">
        <v>2145</v>
      </c>
    </row>
    <row r="1715" spans="6:6" x14ac:dyDescent="0.25">
      <c r="F1715" t="s">
        <v>2146</v>
      </c>
    </row>
    <row r="1716" spans="6:6" x14ac:dyDescent="0.25">
      <c r="F1716" t="s">
        <v>2147</v>
      </c>
    </row>
    <row r="1717" spans="6:6" x14ac:dyDescent="0.25">
      <c r="F1717" t="s">
        <v>116</v>
      </c>
    </row>
    <row r="1718" spans="6:6" x14ac:dyDescent="0.25">
      <c r="F1718" t="s">
        <v>2148</v>
      </c>
    </row>
    <row r="1719" spans="6:6" x14ac:dyDescent="0.25">
      <c r="F1719" t="s">
        <v>2149</v>
      </c>
    </row>
    <row r="1720" spans="6:6" x14ac:dyDescent="0.25">
      <c r="F1720" t="s">
        <v>2150</v>
      </c>
    </row>
    <row r="1721" spans="6:6" x14ac:dyDescent="0.25">
      <c r="F1721" t="s">
        <v>2151</v>
      </c>
    </row>
    <row r="1722" spans="6:6" x14ac:dyDescent="0.25">
      <c r="F1722" t="s">
        <v>2152</v>
      </c>
    </row>
    <row r="1723" spans="6:6" x14ac:dyDescent="0.25">
      <c r="F1723" t="s">
        <v>2153</v>
      </c>
    </row>
    <row r="1724" spans="6:6" x14ac:dyDescent="0.25">
      <c r="F1724" t="s">
        <v>2154</v>
      </c>
    </row>
    <row r="1725" spans="6:6" x14ac:dyDescent="0.25">
      <c r="F1725" t="s">
        <v>2155</v>
      </c>
    </row>
    <row r="1726" spans="6:6" x14ac:dyDescent="0.25">
      <c r="F1726" t="s">
        <v>2156</v>
      </c>
    </row>
    <row r="1727" spans="6:6" x14ac:dyDescent="0.25">
      <c r="F1727" t="s">
        <v>2157</v>
      </c>
    </row>
    <row r="1728" spans="6:6" x14ac:dyDescent="0.25">
      <c r="F1728" t="s">
        <v>2158</v>
      </c>
    </row>
    <row r="1729" spans="6:6" x14ac:dyDescent="0.25">
      <c r="F1729" t="s">
        <v>2159</v>
      </c>
    </row>
    <row r="1730" spans="6:6" x14ac:dyDescent="0.25">
      <c r="F1730" t="s">
        <v>2160</v>
      </c>
    </row>
    <row r="1731" spans="6:6" x14ac:dyDescent="0.25">
      <c r="F1731" t="s">
        <v>2161</v>
      </c>
    </row>
    <row r="1732" spans="6:6" x14ac:dyDescent="0.25">
      <c r="F1732" t="s">
        <v>2162</v>
      </c>
    </row>
    <row r="1733" spans="6:6" x14ac:dyDescent="0.25">
      <c r="F1733" t="s">
        <v>2163</v>
      </c>
    </row>
    <row r="1734" spans="6:6" x14ac:dyDescent="0.25">
      <c r="F1734" t="s">
        <v>2164</v>
      </c>
    </row>
    <row r="1735" spans="6:6" x14ac:dyDescent="0.25">
      <c r="F1735" t="s">
        <v>2165</v>
      </c>
    </row>
    <row r="1736" spans="6:6" x14ac:dyDescent="0.25">
      <c r="F1736" t="s">
        <v>2166</v>
      </c>
    </row>
    <row r="1737" spans="6:6" x14ac:dyDescent="0.25">
      <c r="F1737" t="s">
        <v>2167</v>
      </c>
    </row>
    <row r="1738" spans="6:6" x14ac:dyDescent="0.25">
      <c r="F1738" t="s">
        <v>2168</v>
      </c>
    </row>
    <row r="1739" spans="6:6" x14ac:dyDescent="0.25">
      <c r="F1739" t="s">
        <v>2169</v>
      </c>
    </row>
    <row r="1740" spans="6:6" x14ac:dyDescent="0.25">
      <c r="F1740" t="s">
        <v>2170</v>
      </c>
    </row>
    <row r="1741" spans="6:6" x14ac:dyDescent="0.25">
      <c r="F1741" t="s">
        <v>2171</v>
      </c>
    </row>
    <row r="1742" spans="6:6" x14ac:dyDescent="0.25">
      <c r="F1742" t="s">
        <v>2172</v>
      </c>
    </row>
    <row r="1743" spans="6:6" x14ac:dyDescent="0.25">
      <c r="F1743" t="s">
        <v>2173</v>
      </c>
    </row>
    <row r="1744" spans="6:6" x14ac:dyDescent="0.25">
      <c r="F1744" t="s">
        <v>2174</v>
      </c>
    </row>
    <row r="1745" spans="6:6" x14ac:dyDescent="0.25">
      <c r="F1745" t="s">
        <v>2175</v>
      </c>
    </row>
    <row r="1746" spans="6:6" x14ac:dyDescent="0.25">
      <c r="F1746" t="s">
        <v>2176</v>
      </c>
    </row>
    <row r="1747" spans="6:6" x14ac:dyDescent="0.25">
      <c r="F1747" t="s">
        <v>2177</v>
      </c>
    </row>
    <row r="1748" spans="6:6" x14ac:dyDescent="0.25">
      <c r="F1748" t="s">
        <v>2178</v>
      </c>
    </row>
    <row r="1749" spans="6:6" x14ac:dyDescent="0.25">
      <c r="F1749" t="s">
        <v>2179</v>
      </c>
    </row>
    <row r="1750" spans="6:6" x14ac:dyDescent="0.25">
      <c r="F1750" t="s">
        <v>2180</v>
      </c>
    </row>
    <row r="1751" spans="6:6" x14ac:dyDescent="0.25">
      <c r="F1751" t="s">
        <v>2181</v>
      </c>
    </row>
    <row r="1752" spans="6:6" x14ac:dyDescent="0.25">
      <c r="F1752" t="s">
        <v>2182</v>
      </c>
    </row>
    <row r="1753" spans="6:6" x14ac:dyDescent="0.25">
      <c r="F1753" t="s">
        <v>2183</v>
      </c>
    </row>
    <row r="1754" spans="6:6" x14ac:dyDescent="0.25">
      <c r="F1754" t="s">
        <v>2184</v>
      </c>
    </row>
    <row r="1755" spans="6:6" x14ac:dyDescent="0.25">
      <c r="F1755" t="s">
        <v>2185</v>
      </c>
    </row>
    <row r="1756" spans="6:6" x14ac:dyDescent="0.25">
      <c r="F1756" t="s">
        <v>2186</v>
      </c>
    </row>
    <row r="1757" spans="6:6" x14ac:dyDescent="0.25">
      <c r="F1757" t="s">
        <v>2187</v>
      </c>
    </row>
    <row r="1758" spans="6:6" x14ac:dyDescent="0.25">
      <c r="F1758" t="s">
        <v>2188</v>
      </c>
    </row>
    <row r="1759" spans="6:6" x14ac:dyDescent="0.25">
      <c r="F1759" t="s">
        <v>2189</v>
      </c>
    </row>
    <row r="1760" spans="6:6" x14ac:dyDescent="0.25">
      <c r="F1760" t="s">
        <v>2190</v>
      </c>
    </row>
    <row r="1761" spans="6:6" x14ac:dyDescent="0.25">
      <c r="F1761" t="s">
        <v>2191</v>
      </c>
    </row>
    <row r="1762" spans="6:6" x14ac:dyDescent="0.25">
      <c r="F1762" t="s">
        <v>2192</v>
      </c>
    </row>
    <row r="1763" spans="6:6" x14ac:dyDescent="0.25">
      <c r="F1763" t="s">
        <v>2193</v>
      </c>
    </row>
    <row r="1764" spans="6:6" x14ac:dyDescent="0.25">
      <c r="F1764" t="s">
        <v>2194</v>
      </c>
    </row>
    <row r="1765" spans="6:6" x14ac:dyDescent="0.25">
      <c r="F1765" t="s">
        <v>2195</v>
      </c>
    </row>
    <row r="1766" spans="6:6" x14ac:dyDescent="0.25">
      <c r="F1766" t="s">
        <v>2196</v>
      </c>
    </row>
    <row r="1767" spans="6:6" x14ac:dyDescent="0.25">
      <c r="F1767" t="s">
        <v>2197</v>
      </c>
    </row>
    <row r="1768" spans="6:6" x14ac:dyDescent="0.25">
      <c r="F1768" t="s">
        <v>2198</v>
      </c>
    </row>
    <row r="1769" spans="6:6" x14ac:dyDescent="0.25">
      <c r="F1769" t="s">
        <v>2199</v>
      </c>
    </row>
    <row r="1770" spans="6:6" x14ac:dyDescent="0.25">
      <c r="F1770" t="s">
        <v>2200</v>
      </c>
    </row>
    <row r="1771" spans="6:6" x14ac:dyDescent="0.25">
      <c r="F1771" t="s">
        <v>2201</v>
      </c>
    </row>
    <row r="1772" spans="6:6" x14ac:dyDescent="0.25">
      <c r="F1772" t="s">
        <v>2202</v>
      </c>
    </row>
    <row r="1773" spans="6:6" x14ac:dyDescent="0.25">
      <c r="F1773" t="s">
        <v>2203</v>
      </c>
    </row>
    <row r="1774" spans="6:6" x14ac:dyDescent="0.25">
      <c r="F1774" t="s">
        <v>2204</v>
      </c>
    </row>
    <row r="1775" spans="6:6" x14ac:dyDescent="0.25">
      <c r="F1775" t="s">
        <v>2205</v>
      </c>
    </row>
    <row r="1776" spans="6:6" x14ac:dyDescent="0.25">
      <c r="F1776" t="s">
        <v>2206</v>
      </c>
    </row>
    <row r="1777" spans="6:6" x14ac:dyDescent="0.25">
      <c r="F1777" t="s">
        <v>2207</v>
      </c>
    </row>
    <row r="1778" spans="6:6" x14ac:dyDescent="0.25">
      <c r="F1778" t="s">
        <v>2208</v>
      </c>
    </row>
    <row r="1779" spans="6:6" x14ac:dyDescent="0.25">
      <c r="F1779" t="s">
        <v>2209</v>
      </c>
    </row>
    <row r="1780" spans="6:6" x14ac:dyDescent="0.25">
      <c r="F1780" t="s">
        <v>2210</v>
      </c>
    </row>
    <row r="1781" spans="6:6" x14ac:dyDescent="0.25">
      <c r="F1781" t="s">
        <v>2211</v>
      </c>
    </row>
    <row r="1782" spans="6:6" x14ac:dyDescent="0.25">
      <c r="F1782" t="s">
        <v>2212</v>
      </c>
    </row>
    <row r="1783" spans="6:6" x14ac:dyDescent="0.25">
      <c r="F1783" t="s">
        <v>2213</v>
      </c>
    </row>
    <row r="1784" spans="6:6" x14ac:dyDescent="0.25">
      <c r="F1784" t="s">
        <v>2214</v>
      </c>
    </row>
    <row r="1785" spans="6:6" x14ac:dyDescent="0.25">
      <c r="F1785" t="s">
        <v>2215</v>
      </c>
    </row>
    <row r="1786" spans="6:6" x14ac:dyDescent="0.25">
      <c r="F1786" t="s">
        <v>2216</v>
      </c>
    </row>
    <row r="1787" spans="6:6" x14ac:dyDescent="0.25">
      <c r="F1787" t="s">
        <v>2217</v>
      </c>
    </row>
    <row r="1788" spans="6:6" x14ac:dyDescent="0.25">
      <c r="F1788" t="s">
        <v>2218</v>
      </c>
    </row>
    <row r="1789" spans="6:6" x14ac:dyDescent="0.25">
      <c r="F1789" t="s">
        <v>2219</v>
      </c>
    </row>
    <row r="1790" spans="6:6" x14ac:dyDescent="0.25">
      <c r="F1790" t="s">
        <v>2220</v>
      </c>
    </row>
    <row r="1791" spans="6:6" x14ac:dyDescent="0.25">
      <c r="F1791" t="s">
        <v>2221</v>
      </c>
    </row>
    <row r="1792" spans="6:6" x14ac:dyDescent="0.25">
      <c r="F1792" t="s">
        <v>21</v>
      </c>
    </row>
    <row r="1793" spans="6:6" x14ac:dyDescent="0.25">
      <c r="F1793" t="s">
        <v>2222</v>
      </c>
    </row>
    <row r="1794" spans="6:6" x14ac:dyDescent="0.25">
      <c r="F1794" t="s">
        <v>2223</v>
      </c>
    </row>
    <row r="1795" spans="6:6" x14ac:dyDescent="0.25">
      <c r="F1795" t="s">
        <v>2224</v>
      </c>
    </row>
    <row r="1796" spans="6:6" x14ac:dyDescent="0.25">
      <c r="F1796" t="s">
        <v>2225</v>
      </c>
    </row>
    <row r="1797" spans="6:6" x14ac:dyDescent="0.25">
      <c r="F1797" t="s">
        <v>2226</v>
      </c>
    </row>
    <row r="1798" spans="6:6" x14ac:dyDescent="0.25">
      <c r="F1798" t="s">
        <v>2227</v>
      </c>
    </row>
    <row r="1799" spans="6:6" x14ac:dyDescent="0.25">
      <c r="F1799" t="s">
        <v>2228</v>
      </c>
    </row>
    <row r="1800" spans="6:6" x14ac:dyDescent="0.25">
      <c r="F1800" t="s">
        <v>2229</v>
      </c>
    </row>
    <row r="1801" spans="6:6" x14ac:dyDescent="0.25">
      <c r="F1801" t="s">
        <v>2230</v>
      </c>
    </row>
    <row r="1802" spans="6:6" x14ac:dyDescent="0.25">
      <c r="F1802" t="s">
        <v>2231</v>
      </c>
    </row>
    <row r="1803" spans="6:6" x14ac:dyDescent="0.25">
      <c r="F1803" t="s">
        <v>2232</v>
      </c>
    </row>
    <row r="1804" spans="6:6" x14ac:dyDescent="0.25">
      <c r="F1804" t="s">
        <v>2233</v>
      </c>
    </row>
    <row r="1805" spans="6:6" x14ac:dyDescent="0.25">
      <c r="F1805" t="s">
        <v>2234</v>
      </c>
    </row>
    <row r="1806" spans="6:6" x14ac:dyDescent="0.25">
      <c r="F1806" t="s">
        <v>2235</v>
      </c>
    </row>
    <row r="1807" spans="6:6" x14ac:dyDescent="0.25">
      <c r="F1807" t="s">
        <v>2236</v>
      </c>
    </row>
    <row r="1808" spans="6:6" x14ac:dyDescent="0.25">
      <c r="F1808" t="s">
        <v>2237</v>
      </c>
    </row>
    <row r="1809" spans="6:6" x14ac:dyDescent="0.25">
      <c r="F1809" t="s">
        <v>2238</v>
      </c>
    </row>
    <row r="1810" spans="6:6" x14ac:dyDescent="0.25">
      <c r="F1810" t="s">
        <v>2239</v>
      </c>
    </row>
    <row r="1811" spans="6:6" x14ac:dyDescent="0.25">
      <c r="F1811" t="s">
        <v>2240</v>
      </c>
    </row>
    <row r="1812" spans="6:6" x14ac:dyDescent="0.25">
      <c r="F1812" t="s">
        <v>2241</v>
      </c>
    </row>
    <row r="1813" spans="6:6" x14ac:dyDescent="0.25">
      <c r="F1813" t="s">
        <v>2242</v>
      </c>
    </row>
    <row r="1814" spans="6:6" x14ac:dyDescent="0.25">
      <c r="F1814" t="s">
        <v>2243</v>
      </c>
    </row>
    <row r="1815" spans="6:6" x14ac:dyDescent="0.25">
      <c r="F1815" t="s">
        <v>2244</v>
      </c>
    </row>
    <row r="1816" spans="6:6" x14ac:dyDescent="0.25">
      <c r="F1816" t="s">
        <v>2245</v>
      </c>
    </row>
    <row r="1817" spans="6:6" x14ac:dyDescent="0.25">
      <c r="F1817" t="s">
        <v>2246</v>
      </c>
    </row>
    <row r="1818" spans="6:6" x14ac:dyDescent="0.25">
      <c r="F1818" t="s">
        <v>2247</v>
      </c>
    </row>
    <row r="1819" spans="6:6" x14ac:dyDescent="0.25">
      <c r="F1819" t="s">
        <v>2248</v>
      </c>
    </row>
    <row r="1820" spans="6:6" x14ac:dyDescent="0.25">
      <c r="F1820" t="s">
        <v>2249</v>
      </c>
    </row>
    <row r="1821" spans="6:6" x14ac:dyDescent="0.25">
      <c r="F1821" t="s">
        <v>2250</v>
      </c>
    </row>
    <row r="1822" spans="6:6" x14ac:dyDescent="0.25">
      <c r="F1822" t="s">
        <v>2251</v>
      </c>
    </row>
    <row r="1823" spans="6:6" x14ac:dyDescent="0.25">
      <c r="F1823" t="s">
        <v>2252</v>
      </c>
    </row>
    <row r="1824" spans="6:6" x14ac:dyDescent="0.25">
      <c r="F1824" t="s">
        <v>2253</v>
      </c>
    </row>
    <row r="1825" spans="6:6" x14ac:dyDescent="0.25">
      <c r="F1825" t="s">
        <v>2254</v>
      </c>
    </row>
    <row r="1826" spans="6:6" x14ac:dyDescent="0.25">
      <c r="F1826" t="s">
        <v>2255</v>
      </c>
    </row>
    <row r="1827" spans="6:6" x14ac:dyDescent="0.25">
      <c r="F1827" t="s">
        <v>2256</v>
      </c>
    </row>
    <row r="1828" spans="6:6" x14ac:dyDescent="0.25">
      <c r="F1828" t="s">
        <v>2257</v>
      </c>
    </row>
    <row r="1829" spans="6:6" x14ac:dyDescent="0.25">
      <c r="F1829" t="s">
        <v>2258</v>
      </c>
    </row>
    <row r="1830" spans="6:6" x14ac:dyDescent="0.25">
      <c r="F1830" t="s">
        <v>2259</v>
      </c>
    </row>
    <row r="1831" spans="6:6" x14ac:dyDescent="0.25">
      <c r="F1831" t="s">
        <v>2260</v>
      </c>
    </row>
    <row r="1832" spans="6:6" x14ac:dyDescent="0.25">
      <c r="F1832" t="s">
        <v>2261</v>
      </c>
    </row>
    <row r="1833" spans="6:6" x14ac:dyDescent="0.25">
      <c r="F1833" t="s">
        <v>2262</v>
      </c>
    </row>
    <row r="1834" spans="6:6" x14ac:dyDescent="0.25">
      <c r="F1834" t="s">
        <v>2263</v>
      </c>
    </row>
    <row r="1835" spans="6:6" x14ac:dyDescent="0.25">
      <c r="F1835" t="s">
        <v>2264</v>
      </c>
    </row>
    <row r="1836" spans="6:6" x14ac:dyDescent="0.25">
      <c r="F1836" t="s">
        <v>2265</v>
      </c>
    </row>
    <row r="1837" spans="6:6" x14ac:dyDescent="0.25">
      <c r="F1837" t="s">
        <v>2266</v>
      </c>
    </row>
    <row r="1838" spans="6:6" x14ac:dyDescent="0.25">
      <c r="F1838" t="s">
        <v>2267</v>
      </c>
    </row>
    <row r="1839" spans="6:6" x14ac:dyDescent="0.25">
      <c r="F1839" t="s">
        <v>2268</v>
      </c>
    </row>
    <row r="1840" spans="6:6" x14ac:dyDescent="0.25">
      <c r="F1840" t="s">
        <v>2269</v>
      </c>
    </row>
    <row r="1841" spans="6:6" x14ac:dyDescent="0.25">
      <c r="F1841" t="s">
        <v>2270</v>
      </c>
    </row>
    <row r="1842" spans="6:6" x14ac:dyDescent="0.25">
      <c r="F1842" t="s">
        <v>2271</v>
      </c>
    </row>
    <row r="1843" spans="6:6" x14ac:dyDescent="0.25">
      <c r="F1843" t="s">
        <v>2272</v>
      </c>
    </row>
    <row r="1844" spans="6:6" x14ac:dyDescent="0.25">
      <c r="F1844" t="s">
        <v>2273</v>
      </c>
    </row>
    <row r="1845" spans="6:6" x14ac:dyDescent="0.25">
      <c r="F1845" t="s">
        <v>2274</v>
      </c>
    </row>
    <row r="1846" spans="6:6" x14ac:dyDescent="0.25">
      <c r="F1846" t="s">
        <v>2275</v>
      </c>
    </row>
    <row r="1847" spans="6:6" x14ac:dyDescent="0.25">
      <c r="F1847" t="s">
        <v>2276</v>
      </c>
    </row>
    <row r="1848" spans="6:6" x14ac:dyDescent="0.25">
      <c r="F1848" t="s">
        <v>2277</v>
      </c>
    </row>
    <row r="1849" spans="6:6" x14ac:dyDescent="0.25">
      <c r="F1849" t="s">
        <v>2278</v>
      </c>
    </row>
    <row r="1850" spans="6:6" x14ac:dyDescent="0.25">
      <c r="F1850" t="s">
        <v>2279</v>
      </c>
    </row>
    <row r="1851" spans="6:6" x14ac:dyDescent="0.25">
      <c r="F1851" t="s">
        <v>2280</v>
      </c>
    </row>
    <row r="1852" spans="6:6" x14ac:dyDescent="0.25">
      <c r="F1852" t="s">
        <v>2281</v>
      </c>
    </row>
    <row r="1853" spans="6:6" x14ac:dyDescent="0.25">
      <c r="F1853" t="s">
        <v>2282</v>
      </c>
    </row>
    <row r="1854" spans="6:6" x14ac:dyDescent="0.25">
      <c r="F1854" t="s">
        <v>2283</v>
      </c>
    </row>
    <row r="1855" spans="6:6" x14ac:dyDescent="0.25">
      <c r="F1855" t="s">
        <v>2284</v>
      </c>
    </row>
    <row r="1856" spans="6:6" x14ac:dyDescent="0.25">
      <c r="F1856" t="s">
        <v>2285</v>
      </c>
    </row>
    <row r="1857" spans="6:6" x14ac:dyDescent="0.25">
      <c r="F1857" t="s">
        <v>2286</v>
      </c>
    </row>
    <row r="1858" spans="6:6" x14ac:dyDescent="0.25">
      <c r="F1858" t="s">
        <v>2287</v>
      </c>
    </row>
    <row r="1859" spans="6:6" x14ac:dyDescent="0.25">
      <c r="F1859" t="s">
        <v>2288</v>
      </c>
    </row>
    <row r="1860" spans="6:6" x14ac:dyDescent="0.25">
      <c r="F1860" t="s">
        <v>2289</v>
      </c>
    </row>
    <row r="1861" spans="6:6" x14ac:dyDescent="0.25">
      <c r="F1861" t="s">
        <v>2290</v>
      </c>
    </row>
    <row r="1862" spans="6:6" x14ac:dyDescent="0.25">
      <c r="F1862" t="s">
        <v>2291</v>
      </c>
    </row>
    <row r="1863" spans="6:6" x14ac:dyDescent="0.25">
      <c r="F1863" t="s">
        <v>2292</v>
      </c>
    </row>
    <row r="1864" spans="6:6" x14ac:dyDescent="0.25">
      <c r="F1864" t="s">
        <v>2293</v>
      </c>
    </row>
    <row r="1865" spans="6:6" x14ac:dyDescent="0.25">
      <c r="F1865" t="s">
        <v>2294</v>
      </c>
    </row>
    <row r="1866" spans="6:6" x14ac:dyDescent="0.25">
      <c r="F1866" t="s">
        <v>2295</v>
      </c>
    </row>
    <row r="1867" spans="6:6" x14ac:dyDescent="0.25">
      <c r="F1867" t="s">
        <v>2296</v>
      </c>
    </row>
    <row r="1868" spans="6:6" x14ac:dyDescent="0.25">
      <c r="F1868" t="s">
        <v>2297</v>
      </c>
    </row>
    <row r="1869" spans="6:6" x14ac:dyDescent="0.25">
      <c r="F1869" t="s">
        <v>2298</v>
      </c>
    </row>
    <row r="1870" spans="6:6" x14ac:dyDescent="0.25">
      <c r="F1870" t="s">
        <v>2299</v>
      </c>
    </row>
    <row r="1871" spans="6:6" x14ac:dyDescent="0.25">
      <c r="F1871" t="s">
        <v>2300</v>
      </c>
    </row>
    <row r="1872" spans="6:6" x14ac:dyDescent="0.25">
      <c r="F1872" t="s">
        <v>2301</v>
      </c>
    </row>
    <row r="1873" spans="6:6" x14ac:dyDescent="0.25">
      <c r="F1873" t="s">
        <v>2302</v>
      </c>
    </row>
    <row r="1874" spans="6:6" x14ac:dyDescent="0.25">
      <c r="F1874" t="s">
        <v>2303</v>
      </c>
    </row>
    <row r="1875" spans="6:6" x14ac:dyDescent="0.25">
      <c r="F1875" t="s">
        <v>2304</v>
      </c>
    </row>
    <row r="1876" spans="6:6" x14ac:dyDescent="0.25">
      <c r="F1876" t="s">
        <v>2305</v>
      </c>
    </row>
    <row r="1877" spans="6:6" x14ac:dyDescent="0.25">
      <c r="F1877" t="s">
        <v>2306</v>
      </c>
    </row>
    <row r="1878" spans="6:6" x14ac:dyDescent="0.25">
      <c r="F1878" t="s">
        <v>2307</v>
      </c>
    </row>
    <row r="1879" spans="6:6" x14ac:dyDescent="0.25">
      <c r="F1879" t="s">
        <v>2308</v>
      </c>
    </row>
    <row r="1880" spans="6:6" x14ac:dyDescent="0.25">
      <c r="F1880" t="s">
        <v>2309</v>
      </c>
    </row>
    <row r="1881" spans="6:6" x14ac:dyDescent="0.25">
      <c r="F1881" t="s">
        <v>2310</v>
      </c>
    </row>
    <row r="1882" spans="6:6" x14ac:dyDescent="0.25">
      <c r="F1882" t="s">
        <v>2311</v>
      </c>
    </row>
    <row r="1883" spans="6:6" x14ac:dyDescent="0.25">
      <c r="F1883" t="s">
        <v>2312</v>
      </c>
    </row>
    <row r="1884" spans="6:6" x14ac:dyDescent="0.25">
      <c r="F1884" t="s">
        <v>2313</v>
      </c>
    </row>
    <row r="1885" spans="6:6" x14ac:dyDescent="0.25">
      <c r="F1885" t="s">
        <v>2314</v>
      </c>
    </row>
    <row r="1886" spans="6:6" x14ac:dyDescent="0.25">
      <c r="F1886" t="s">
        <v>221</v>
      </c>
    </row>
    <row r="1887" spans="6:6" x14ac:dyDescent="0.25">
      <c r="F1887" t="s">
        <v>2315</v>
      </c>
    </row>
    <row r="1888" spans="6:6" x14ac:dyDescent="0.25">
      <c r="F1888" t="s">
        <v>2316</v>
      </c>
    </row>
    <row r="1889" spans="6:6" x14ac:dyDescent="0.25">
      <c r="F1889" t="s">
        <v>2317</v>
      </c>
    </row>
    <row r="1890" spans="6:6" x14ac:dyDescent="0.25">
      <c r="F1890" t="s">
        <v>2318</v>
      </c>
    </row>
    <row r="1891" spans="6:6" x14ac:dyDescent="0.25">
      <c r="F1891" t="s">
        <v>2319</v>
      </c>
    </row>
    <row r="1892" spans="6:6" x14ac:dyDescent="0.25">
      <c r="F1892" t="s">
        <v>2320</v>
      </c>
    </row>
    <row r="1893" spans="6:6" x14ac:dyDescent="0.25">
      <c r="F1893" t="s">
        <v>2321</v>
      </c>
    </row>
    <row r="1894" spans="6:6" x14ac:dyDescent="0.25">
      <c r="F1894" t="s">
        <v>2322</v>
      </c>
    </row>
    <row r="1895" spans="6:6" x14ac:dyDescent="0.25">
      <c r="F1895" t="s">
        <v>2323</v>
      </c>
    </row>
    <row r="1896" spans="6:6" x14ac:dyDescent="0.25">
      <c r="F1896" t="s">
        <v>2324</v>
      </c>
    </row>
    <row r="1897" spans="6:6" x14ac:dyDescent="0.25">
      <c r="F1897" t="s">
        <v>2325</v>
      </c>
    </row>
    <row r="1898" spans="6:6" x14ac:dyDescent="0.25">
      <c r="F1898" t="s">
        <v>2326</v>
      </c>
    </row>
    <row r="1899" spans="6:6" x14ac:dyDescent="0.25">
      <c r="F1899" t="s">
        <v>2327</v>
      </c>
    </row>
    <row r="1900" spans="6:6" x14ac:dyDescent="0.25">
      <c r="F1900" t="s">
        <v>2328</v>
      </c>
    </row>
    <row r="1901" spans="6:6" x14ac:dyDescent="0.25">
      <c r="F1901" t="s">
        <v>2329</v>
      </c>
    </row>
    <row r="1902" spans="6:6" x14ac:dyDescent="0.25">
      <c r="F1902" t="s">
        <v>2330</v>
      </c>
    </row>
    <row r="1903" spans="6:6" x14ac:dyDescent="0.25">
      <c r="F1903" t="s">
        <v>2331</v>
      </c>
    </row>
    <row r="1904" spans="6:6" x14ac:dyDescent="0.25">
      <c r="F1904" t="s">
        <v>2332</v>
      </c>
    </row>
    <row r="1905" spans="6:6" x14ac:dyDescent="0.25">
      <c r="F1905" t="s">
        <v>2333</v>
      </c>
    </row>
    <row r="1906" spans="6:6" x14ac:dyDescent="0.25">
      <c r="F1906" t="s">
        <v>2334</v>
      </c>
    </row>
    <row r="1907" spans="6:6" x14ac:dyDescent="0.25">
      <c r="F1907" t="s">
        <v>2335</v>
      </c>
    </row>
    <row r="1908" spans="6:6" x14ac:dyDescent="0.25">
      <c r="F1908" t="s">
        <v>2336</v>
      </c>
    </row>
    <row r="1909" spans="6:6" x14ac:dyDescent="0.25">
      <c r="F1909" t="s">
        <v>2337</v>
      </c>
    </row>
    <row r="1910" spans="6:6" x14ac:dyDescent="0.25">
      <c r="F1910" t="s">
        <v>2338</v>
      </c>
    </row>
    <row r="1911" spans="6:6" x14ac:dyDescent="0.25">
      <c r="F1911" t="s">
        <v>2339</v>
      </c>
    </row>
    <row r="1912" spans="6:6" x14ac:dyDescent="0.25">
      <c r="F1912" t="s">
        <v>2340</v>
      </c>
    </row>
    <row r="1913" spans="6:6" x14ac:dyDescent="0.25">
      <c r="F1913" t="s">
        <v>2341</v>
      </c>
    </row>
    <row r="1914" spans="6:6" x14ac:dyDescent="0.25">
      <c r="F1914" t="s">
        <v>2342</v>
      </c>
    </row>
    <row r="1915" spans="6:6" x14ac:dyDescent="0.25">
      <c r="F1915" t="s">
        <v>2343</v>
      </c>
    </row>
    <row r="1916" spans="6:6" x14ac:dyDescent="0.25">
      <c r="F1916" t="s">
        <v>2344</v>
      </c>
    </row>
    <row r="1917" spans="6:6" x14ac:dyDescent="0.25">
      <c r="F1917" t="s">
        <v>2345</v>
      </c>
    </row>
    <row r="1918" spans="6:6" x14ac:dyDescent="0.25">
      <c r="F1918" t="s">
        <v>2346</v>
      </c>
    </row>
    <row r="1919" spans="6:6" x14ac:dyDescent="0.25">
      <c r="F1919" t="s">
        <v>2347</v>
      </c>
    </row>
    <row r="1920" spans="6:6" x14ac:dyDescent="0.25">
      <c r="F1920" t="s">
        <v>2348</v>
      </c>
    </row>
    <row r="1921" spans="6:6" x14ac:dyDescent="0.25">
      <c r="F1921" t="s">
        <v>2349</v>
      </c>
    </row>
    <row r="1922" spans="6:6" x14ac:dyDescent="0.25">
      <c r="F1922" t="s">
        <v>2350</v>
      </c>
    </row>
    <row r="1923" spans="6:6" x14ac:dyDescent="0.25">
      <c r="F1923" t="s">
        <v>2351</v>
      </c>
    </row>
    <row r="1924" spans="6:6" x14ac:dyDescent="0.25">
      <c r="F1924" t="s">
        <v>2352</v>
      </c>
    </row>
    <row r="1925" spans="6:6" x14ac:dyDescent="0.25">
      <c r="F1925" t="s">
        <v>2353</v>
      </c>
    </row>
    <row r="1926" spans="6:6" x14ac:dyDescent="0.25">
      <c r="F1926" t="s">
        <v>2354</v>
      </c>
    </row>
    <row r="1927" spans="6:6" x14ac:dyDescent="0.25">
      <c r="F1927" t="s">
        <v>2355</v>
      </c>
    </row>
    <row r="1928" spans="6:6" x14ac:dyDescent="0.25">
      <c r="F1928" t="s">
        <v>2356</v>
      </c>
    </row>
    <row r="1929" spans="6:6" x14ac:dyDescent="0.25">
      <c r="F1929" t="s">
        <v>2357</v>
      </c>
    </row>
    <row r="1930" spans="6:6" x14ac:dyDescent="0.25">
      <c r="F1930" t="s">
        <v>2358</v>
      </c>
    </row>
    <row r="1931" spans="6:6" x14ac:dyDescent="0.25">
      <c r="F1931" t="s">
        <v>2359</v>
      </c>
    </row>
    <row r="1932" spans="6:6" x14ac:dyDescent="0.25">
      <c r="F1932" t="s">
        <v>2360</v>
      </c>
    </row>
    <row r="1933" spans="6:6" x14ac:dyDescent="0.25">
      <c r="F1933" t="s">
        <v>152</v>
      </c>
    </row>
    <row r="1934" spans="6:6" x14ac:dyDescent="0.25">
      <c r="F1934" t="s">
        <v>2361</v>
      </c>
    </row>
    <row r="1935" spans="6:6" x14ac:dyDescent="0.25">
      <c r="F1935" t="s">
        <v>2362</v>
      </c>
    </row>
    <row r="1936" spans="6:6" x14ac:dyDescent="0.25">
      <c r="F1936" t="s">
        <v>2363</v>
      </c>
    </row>
    <row r="1937" spans="6:6" x14ac:dyDescent="0.25">
      <c r="F1937" t="s">
        <v>2364</v>
      </c>
    </row>
    <row r="1938" spans="6:6" x14ac:dyDescent="0.25">
      <c r="F1938" t="s">
        <v>2365</v>
      </c>
    </row>
    <row r="1939" spans="6:6" x14ac:dyDescent="0.25">
      <c r="F1939" t="s">
        <v>2366</v>
      </c>
    </row>
    <row r="1940" spans="6:6" x14ac:dyDescent="0.25">
      <c r="F1940" t="s">
        <v>11</v>
      </c>
    </row>
    <row r="1941" spans="6:6" x14ac:dyDescent="0.25">
      <c r="F1941" t="s">
        <v>2367</v>
      </c>
    </row>
    <row r="1942" spans="6:6" x14ac:dyDescent="0.25">
      <c r="F1942" t="s">
        <v>2368</v>
      </c>
    </row>
    <row r="1943" spans="6:6" x14ac:dyDescent="0.25">
      <c r="F1943" t="s">
        <v>2369</v>
      </c>
    </row>
    <row r="1944" spans="6:6" x14ac:dyDescent="0.25">
      <c r="F1944" t="s">
        <v>2370</v>
      </c>
    </row>
    <row r="1945" spans="6:6" x14ac:dyDescent="0.25">
      <c r="F1945" t="s">
        <v>2371</v>
      </c>
    </row>
    <row r="1946" spans="6:6" x14ac:dyDescent="0.25">
      <c r="F1946" t="s">
        <v>2372</v>
      </c>
    </row>
    <row r="1947" spans="6:6" x14ac:dyDescent="0.25">
      <c r="F1947" t="s">
        <v>2373</v>
      </c>
    </row>
    <row r="1948" spans="6:6" x14ac:dyDescent="0.25">
      <c r="F1948" t="s">
        <v>2374</v>
      </c>
    </row>
    <row r="1949" spans="6:6" x14ac:dyDescent="0.25">
      <c r="F1949" t="s">
        <v>2375</v>
      </c>
    </row>
    <row r="1950" spans="6:6" x14ac:dyDescent="0.25">
      <c r="F1950" t="s">
        <v>2376</v>
      </c>
    </row>
    <row r="1951" spans="6:6" x14ac:dyDescent="0.25">
      <c r="F1951" t="s">
        <v>2377</v>
      </c>
    </row>
    <row r="1952" spans="6:6" x14ac:dyDescent="0.25">
      <c r="F1952" t="s">
        <v>2378</v>
      </c>
    </row>
    <row r="1953" spans="6:6" x14ac:dyDescent="0.25">
      <c r="F1953" t="s">
        <v>2379</v>
      </c>
    </row>
    <row r="1954" spans="6:6" x14ac:dyDescent="0.25">
      <c r="F1954" t="s">
        <v>2380</v>
      </c>
    </row>
    <row r="1955" spans="6:6" x14ac:dyDescent="0.25">
      <c r="F1955" t="s">
        <v>2381</v>
      </c>
    </row>
    <row r="1956" spans="6:6" x14ac:dyDescent="0.25">
      <c r="F1956" t="s">
        <v>2382</v>
      </c>
    </row>
    <row r="1957" spans="6:6" x14ac:dyDescent="0.25">
      <c r="F1957" t="s">
        <v>2383</v>
      </c>
    </row>
    <row r="1958" spans="6:6" x14ac:dyDescent="0.25">
      <c r="F1958" t="s">
        <v>2384</v>
      </c>
    </row>
    <row r="1959" spans="6:6" x14ac:dyDescent="0.25">
      <c r="F1959" t="s">
        <v>2385</v>
      </c>
    </row>
    <row r="1960" spans="6:6" x14ac:dyDescent="0.25">
      <c r="F1960" t="s">
        <v>2386</v>
      </c>
    </row>
    <row r="1961" spans="6:6" x14ac:dyDescent="0.25">
      <c r="F1961" t="s">
        <v>2387</v>
      </c>
    </row>
    <row r="1962" spans="6:6" x14ac:dyDescent="0.25">
      <c r="F1962" t="s">
        <v>2388</v>
      </c>
    </row>
    <row r="1963" spans="6:6" x14ac:dyDescent="0.25">
      <c r="F1963" t="s">
        <v>2389</v>
      </c>
    </row>
    <row r="1964" spans="6:6" x14ac:dyDescent="0.25">
      <c r="F1964" t="s">
        <v>2390</v>
      </c>
    </row>
    <row r="1965" spans="6:6" x14ac:dyDescent="0.25">
      <c r="F1965" t="s">
        <v>2391</v>
      </c>
    </row>
    <row r="1966" spans="6:6" x14ac:dyDescent="0.25">
      <c r="F1966" t="s">
        <v>2392</v>
      </c>
    </row>
    <row r="1967" spans="6:6" x14ac:dyDescent="0.25">
      <c r="F1967" t="s">
        <v>2393</v>
      </c>
    </row>
    <row r="1968" spans="6:6" x14ac:dyDescent="0.25">
      <c r="F1968" t="s">
        <v>2394</v>
      </c>
    </row>
    <row r="1969" spans="6:6" x14ac:dyDescent="0.25">
      <c r="F1969" t="s">
        <v>2395</v>
      </c>
    </row>
    <row r="1970" spans="6:6" x14ac:dyDescent="0.25">
      <c r="F1970" t="s">
        <v>2396</v>
      </c>
    </row>
    <row r="1971" spans="6:6" x14ac:dyDescent="0.25">
      <c r="F1971" t="s">
        <v>2397</v>
      </c>
    </row>
    <row r="1972" spans="6:6" x14ac:dyDescent="0.25">
      <c r="F1972" t="s">
        <v>2398</v>
      </c>
    </row>
    <row r="1973" spans="6:6" x14ac:dyDescent="0.25">
      <c r="F1973" t="s">
        <v>2399</v>
      </c>
    </row>
    <row r="1974" spans="6:6" x14ac:dyDescent="0.25">
      <c r="F1974" t="s">
        <v>2400</v>
      </c>
    </row>
    <row r="1975" spans="6:6" x14ac:dyDescent="0.25">
      <c r="F1975" t="s">
        <v>2401</v>
      </c>
    </row>
    <row r="1976" spans="6:6" x14ac:dyDescent="0.25">
      <c r="F1976" t="s">
        <v>2402</v>
      </c>
    </row>
    <row r="1977" spans="6:6" x14ac:dyDescent="0.25">
      <c r="F1977" t="s">
        <v>2403</v>
      </c>
    </row>
    <row r="1978" spans="6:6" x14ac:dyDescent="0.25">
      <c r="F1978" t="s">
        <v>2404</v>
      </c>
    </row>
    <row r="1979" spans="6:6" x14ac:dyDescent="0.25">
      <c r="F1979" t="s">
        <v>2405</v>
      </c>
    </row>
    <row r="1980" spans="6:6" x14ac:dyDescent="0.25">
      <c r="F1980" t="s">
        <v>1030</v>
      </c>
    </row>
    <row r="1981" spans="6:6" x14ac:dyDescent="0.25">
      <c r="F1981" t="s">
        <v>2406</v>
      </c>
    </row>
    <row r="1982" spans="6:6" x14ac:dyDescent="0.25">
      <c r="F1982" t="s">
        <v>2407</v>
      </c>
    </row>
    <row r="1983" spans="6:6" x14ac:dyDescent="0.25">
      <c r="F1983" t="s">
        <v>2408</v>
      </c>
    </row>
    <row r="1984" spans="6:6" x14ac:dyDescent="0.25">
      <c r="F1984" t="s">
        <v>2409</v>
      </c>
    </row>
    <row r="1985" spans="6:6" x14ac:dyDescent="0.25">
      <c r="F1985" t="s">
        <v>2410</v>
      </c>
    </row>
    <row r="1986" spans="6:6" x14ac:dyDescent="0.25">
      <c r="F1986" t="s">
        <v>2411</v>
      </c>
    </row>
    <row r="1987" spans="6:6" x14ac:dyDescent="0.25">
      <c r="F1987" t="s">
        <v>2412</v>
      </c>
    </row>
    <row r="1988" spans="6:6" x14ac:dyDescent="0.25">
      <c r="F1988" t="s">
        <v>2413</v>
      </c>
    </row>
    <row r="1989" spans="6:6" x14ac:dyDescent="0.25">
      <c r="F1989" t="s">
        <v>2414</v>
      </c>
    </row>
    <row r="1990" spans="6:6" x14ac:dyDescent="0.25">
      <c r="F1990" t="s">
        <v>2415</v>
      </c>
    </row>
    <row r="1991" spans="6:6" x14ac:dyDescent="0.25">
      <c r="F1991" t="s">
        <v>2416</v>
      </c>
    </row>
    <row r="1992" spans="6:6" x14ac:dyDescent="0.25">
      <c r="F1992" t="s">
        <v>2417</v>
      </c>
    </row>
    <row r="1993" spans="6:6" x14ac:dyDescent="0.25">
      <c r="F1993" t="s">
        <v>2418</v>
      </c>
    </row>
    <row r="1994" spans="6:6" x14ac:dyDescent="0.25">
      <c r="F1994" t="s">
        <v>2419</v>
      </c>
    </row>
    <row r="1995" spans="6:6" x14ac:dyDescent="0.25">
      <c r="F1995" t="s">
        <v>2420</v>
      </c>
    </row>
    <row r="1996" spans="6:6" x14ac:dyDescent="0.25">
      <c r="F1996" t="s">
        <v>2421</v>
      </c>
    </row>
    <row r="1997" spans="6:6" x14ac:dyDescent="0.25">
      <c r="F1997" t="s">
        <v>2422</v>
      </c>
    </row>
    <row r="1998" spans="6:6" x14ac:dyDescent="0.25">
      <c r="F1998" t="s">
        <v>233</v>
      </c>
    </row>
    <row r="1999" spans="6:6" x14ac:dyDescent="0.25">
      <c r="F1999" t="s">
        <v>2423</v>
      </c>
    </row>
    <row r="2000" spans="6:6" x14ac:dyDescent="0.25">
      <c r="F2000" t="s">
        <v>2424</v>
      </c>
    </row>
    <row r="2001" spans="6:6" x14ac:dyDescent="0.25">
      <c r="F2001" t="s">
        <v>2425</v>
      </c>
    </row>
    <row r="2002" spans="6:6" x14ac:dyDescent="0.25">
      <c r="F2002" t="s">
        <v>2426</v>
      </c>
    </row>
    <row r="2003" spans="6:6" x14ac:dyDescent="0.25">
      <c r="F2003" t="s">
        <v>2427</v>
      </c>
    </row>
    <row r="2004" spans="6:6" x14ac:dyDescent="0.25">
      <c r="F2004" t="s">
        <v>2428</v>
      </c>
    </row>
    <row r="2005" spans="6:6" x14ac:dyDescent="0.25">
      <c r="F2005" t="s">
        <v>2429</v>
      </c>
    </row>
    <row r="2006" spans="6:6" x14ac:dyDescent="0.25">
      <c r="F2006" t="s">
        <v>2430</v>
      </c>
    </row>
    <row r="2007" spans="6:6" x14ac:dyDescent="0.25">
      <c r="F2007" t="s">
        <v>2431</v>
      </c>
    </row>
    <row r="2008" spans="6:6" x14ac:dyDescent="0.25">
      <c r="F2008" t="s">
        <v>2432</v>
      </c>
    </row>
    <row r="2009" spans="6:6" x14ac:dyDescent="0.25">
      <c r="F2009" t="s">
        <v>2433</v>
      </c>
    </row>
    <row r="2010" spans="6:6" x14ac:dyDescent="0.25">
      <c r="F2010" t="s">
        <v>2434</v>
      </c>
    </row>
    <row r="2011" spans="6:6" x14ac:dyDescent="0.25">
      <c r="F2011" t="s">
        <v>2435</v>
      </c>
    </row>
    <row r="2012" spans="6:6" x14ac:dyDescent="0.25">
      <c r="F2012" t="s">
        <v>2436</v>
      </c>
    </row>
    <row r="2013" spans="6:6" x14ac:dyDescent="0.25">
      <c r="F2013" t="s">
        <v>2437</v>
      </c>
    </row>
    <row r="2014" spans="6:6" x14ac:dyDescent="0.25">
      <c r="F2014" t="s">
        <v>2438</v>
      </c>
    </row>
    <row r="2015" spans="6:6" x14ac:dyDescent="0.25">
      <c r="F2015" t="s">
        <v>2439</v>
      </c>
    </row>
    <row r="2016" spans="6:6" x14ac:dyDescent="0.25">
      <c r="F2016" t="s">
        <v>2440</v>
      </c>
    </row>
    <row r="2017" spans="6:6" x14ac:dyDescent="0.25">
      <c r="F2017" t="s">
        <v>2441</v>
      </c>
    </row>
    <row r="2018" spans="6:6" x14ac:dyDescent="0.25">
      <c r="F2018" t="s">
        <v>2442</v>
      </c>
    </row>
    <row r="2019" spans="6:6" x14ac:dyDescent="0.25">
      <c r="F2019" t="s">
        <v>2443</v>
      </c>
    </row>
    <row r="2020" spans="6:6" x14ac:dyDescent="0.25">
      <c r="F2020" t="s">
        <v>2444</v>
      </c>
    </row>
    <row r="2021" spans="6:6" x14ac:dyDescent="0.25">
      <c r="F2021" t="s">
        <v>2445</v>
      </c>
    </row>
    <row r="2022" spans="6:6" x14ac:dyDescent="0.25">
      <c r="F2022" t="s">
        <v>2446</v>
      </c>
    </row>
    <row r="2023" spans="6:6" x14ac:dyDescent="0.25">
      <c r="F2023" t="s">
        <v>2447</v>
      </c>
    </row>
    <row r="2024" spans="6:6" x14ac:dyDescent="0.25">
      <c r="F2024" t="s">
        <v>2448</v>
      </c>
    </row>
    <row r="2025" spans="6:6" x14ac:dyDescent="0.25">
      <c r="F2025" t="s">
        <v>2449</v>
      </c>
    </row>
    <row r="2026" spans="6:6" x14ac:dyDescent="0.25">
      <c r="F2026" t="s">
        <v>2450</v>
      </c>
    </row>
    <row r="2027" spans="6:6" x14ac:dyDescent="0.25">
      <c r="F2027" t="s">
        <v>2451</v>
      </c>
    </row>
    <row r="2028" spans="6:6" x14ac:dyDescent="0.25">
      <c r="F2028" t="s">
        <v>2452</v>
      </c>
    </row>
    <row r="2029" spans="6:6" x14ac:dyDescent="0.25">
      <c r="F2029" t="s">
        <v>2453</v>
      </c>
    </row>
    <row r="2030" spans="6:6" x14ac:dyDescent="0.25">
      <c r="F2030" t="s">
        <v>2454</v>
      </c>
    </row>
    <row r="2031" spans="6:6" x14ac:dyDescent="0.25">
      <c r="F2031" t="s">
        <v>2455</v>
      </c>
    </row>
    <row r="2032" spans="6:6" x14ac:dyDescent="0.25">
      <c r="F2032" t="s">
        <v>2456</v>
      </c>
    </row>
    <row r="2033" spans="6:6" x14ac:dyDescent="0.25">
      <c r="F2033" t="s">
        <v>2457</v>
      </c>
    </row>
    <row r="2034" spans="6:6" x14ac:dyDescent="0.25">
      <c r="F2034" t="s">
        <v>2458</v>
      </c>
    </row>
    <row r="2035" spans="6:6" x14ac:dyDescent="0.25">
      <c r="F2035" t="s">
        <v>2459</v>
      </c>
    </row>
    <row r="2036" spans="6:6" x14ac:dyDescent="0.25">
      <c r="F2036" t="s">
        <v>2460</v>
      </c>
    </row>
    <row r="2037" spans="6:6" x14ac:dyDescent="0.25">
      <c r="F2037" t="s">
        <v>2461</v>
      </c>
    </row>
    <row r="2038" spans="6:6" x14ac:dyDescent="0.25">
      <c r="F2038" t="s">
        <v>2462</v>
      </c>
    </row>
    <row r="2039" spans="6:6" x14ac:dyDescent="0.25">
      <c r="F2039" t="s">
        <v>2463</v>
      </c>
    </row>
    <row r="2040" spans="6:6" x14ac:dyDescent="0.25">
      <c r="F2040" t="s">
        <v>2464</v>
      </c>
    </row>
    <row r="2041" spans="6:6" x14ac:dyDescent="0.25">
      <c r="F2041" t="s">
        <v>2465</v>
      </c>
    </row>
    <row r="2042" spans="6:6" x14ac:dyDescent="0.25">
      <c r="F2042" t="s">
        <v>2466</v>
      </c>
    </row>
    <row r="2043" spans="6:6" x14ac:dyDescent="0.25">
      <c r="F2043" t="s">
        <v>2467</v>
      </c>
    </row>
    <row r="2044" spans="6:6" x14ac:dyDescent="0.25">
      <c r="F2044" t="s">
        <v>2468</v>
      </c>
    </row>
    <row r="2045" spans="6:6" x14ac:dyDescent="0.25">
      <c r="F2045" t="s">
        <v>2469</v>
      </c>
    </row>
    <row r="2046" spans="6:6" x14ac:dyDescent="0.25">
      <c r="F2046" t="s">
        <v>2470</v>
      </c>
    </row>
    <row r="2047" spans="6:6" x14ac:dyDescent="0.25">
      <c r="F2047" t="s">
        <v>2471</v>
      </c>
    </row>
    <row r="2048" spans="6:6" x14ac:dyDescent="0.25">
      <c r="F2048" t="s">
        <v>2472</v>
      </c>
    </row>
    <row r="2049" spans="6:6" x14ac:dyDescent="0.25">
      <c r="F2049" t="s">
        <v>2473</v>
      </c>
    </row>
    <row r="2050" spans="6:6" x14ac:dyDescent="0.25">
      <c r="F2050" t="s">
        <v>2474</v>
      </c>
    </row>
    <row r="2051" spans="6:6" x14ac:dyDescent="0.25">
      <c r="F2051" t="s">
        <v>2475</v>
      </c>
    </row>
    <row r="2052" spans="6:6" x14ac:dyDescent="0.25">
      <c r="F2052" t="s">
        <v>2476</v>
      </c>
    </row>
    <row r="2053" spans="6:6" x14ac:dyDescent="0.25">
      <c r="F2053" t="s">
        <v>2477</v>
      </c>
    </row>
    <row r="2054" spans="6:6" x14ac:dyDescent="0.25">
      <c r="F2054" t="s">
        <v>2478</v>
      </c>
    </row>
    <row r="2055" spans="6:6" x14ac:dyDescent="0.25">
      <c r="F2055" t="s">
        <v>2479</v>
      </c>
    </row>
    <row r="2056" spans="6:6" x14ac:dyDescent="0.25">
      <c r="F2056" t="s">
        <v>2480</v>
      </c>
    </row>
    <row r="2057" spans="6:6" x14ac:dyDescent="0.25">
      <c r="F2057" t="s">
        <v>2481</v>
      </c>
    </row>
    <row r="2058" spans="6:6" x14ac:dyDescent="0.25">
      <c r="F2058" t="s">
        <v>2482</v>
      </c>
    </row>
    <row r="2059" spans="6:6" x14ac:dyDescent="0.25">
      <c r="F2059" t="s">
        <v>2483</v>
      </c>
    </row>
    <row r="2060" spans="6:6" x14ac:dyDescent="0.25">
      <c r="F2060" t="s">
        <v>2484</v>
      </c>
    </row>
    <row r="2061" spans="6:6" x14ac:dyDescent="0.25">
      <c r="F2061" t="s">
        <v>2485</v>
      </c>
    </row>
    <row r="2062" spans="6:6" x14ac:dyDescent="0.25">
      <c r="F2062" t="s">
        <v>2486</v>
      </c>
    </row>
    <row r="2063" spans="6:6" x14ac:dyDescent="0.25">
      <c r="F2063" t="s">
        <v>2487</v>
      </c>
    </row>
    <row r="2064" spans="6:6" x14ac:dyDescent="0.25">
      <c r="F2064" t="s">
        <v>2488</v>
      </c>
    </row>
    <row r="2065" spans="6:6" x14ac:dyDescent="0.25">
      <c r="F2065" t="s">
        <v>2489</v>
      </c>
    </row>
    <row r="2066" spans="6:6" x14ac:dyDescent="0.25">
      <c r="F2066" t="s">
        <v>2490</v>
      </c>
    </row>
    <row r="2067" spans="6:6" x14ac:dyDescent="0.25">
      <c r="F2067" t="s">
        <v>2491</v>
      </c>
    </row>
    <row r="2068" spans="6:6" x14ac:dyDescent="0.25">
      <c r="F2068" t="s">
        <v>2492</v>
      </c>
    </row>
    <row r="2069" spans="6:6" x14ac:dyDescent="0.25">
      <c r="F2069" t="s">
        <v>2493</v>
      </c>
    </row>
    <row r="2070" spans="6:6" x14ac:dyDescent="0.25">
      <c r="F2070" t="s">
        <v>2494</v>
      </c>
    </row>
    <row r="2071" spans="6:6" x14ac:dyDescent="0.25">
      <c r="F2071" t="s">
        <v>2495</v>
      </c>
    </row>
    <row r="2072" spans="6:6" x14ac:dyDescent="0.25">
      <c r="F2072" t="s">
        <v>2496</v>
      </c>
    </row>
    <row r="2073" spans="6:6" x14ac:dyDescent="0.25">
      <c r="F2073" t="s">
        <v>2497</v>
      </c>
    </row>
    <row r="2074" spans="6:6" x14ac:dyDescent="0.25">
      <c r="F2074" t="s">
        <v>2498</v>
      </c>
    </row>
    <row r="2075" spans="6:6" x14ac:dyDescent="0.25">
      <c r="F2075" t="s">
        <v>2499</v>
      </c>
    </row>
    <row r="2076" spans="6:6" x14ac:dyDescent="0.25">
      <c r="F2076" t="s">
        <v>2500</v>
      </c>
    </row>
    <row r="2077" spans="6:6" x14ac:dyDescent="0.25">
      <c r="F2077" t="s">
        <v>2501</v>
      </c>
    </row>
    <row r="2078" spans="6:6" x14ac:dyDescent="0.25">
      <c r="F2078" t="s">
        <v>2502</v>
      </c>
    </row>
    <row r="2079" spans="6:6" x14ac:dyDescent="0.25">
      <c r="F2079" t="s">
        <v>2503</v>
      </c>
    </row>
    <row r="2080" spans="6:6" x14ac:dyDescent="0.25">
      <c r="F2080" t="s">
        <v>2504</v>
      </c>
    </row>
    <row r="2081" spans="6:6" x14ac:dyDescent="0.25">
      <c r="F2081" t="s">
        <v>2505</v>
      </c>
    </row>
    <row r="2082" spans="6:6" x14ac:dyDescent="0.25">
      <c r="F2082" t="s">
        <v>2506</v>
      </c>
    </row>
    <row r="2083" spans="6:6" x14ac:dyDescent="0.25">
      <c r="F2083" t="s">
        <v>2507</v>
      </c>
    </row>
    <row r="2084" spans="6:6" x14ac:dyDescent="0.25">
      <c r="F2084" t="s">
        <v>2508</v>
      </c>
    </row>
    <row r="2085" spans="6:6" x14ac:dyDescent="0.25">
      <c r="F2085" t="s">
        <v>2509</v>
      </c>
    </row>
    <row r="2086" spans="6:6" x14ac:dyDescent="0.25">
      <c r="F2086" t="s">
        <v>2510</v>
      </c>
    </row>
    <row r="2087" spans="6:6" x14ac:dyDescent="0.25">
      <c r="F2087" t="s">
        <v>2511</v>
      </c>
    </row>
    <row r="2088" spans="6:6" x14ac:dyDescent="0.25">
      <c r="F2088" t="s">
        <v>2512</v>
      </c>
    </row>
    <row r="2089" spans="6:6" x14ac:dyDescent="0.25">
      <c r="F2089" t="s">
        <v>2513</v>
      </c>
    </row>
    <row r="2090" spans="6:6" x14ac:dyDescent="0.25">
      <c r="F2090" t="s">
        <v>2514</v>
      </c>
    </row>
    <row r="2091" spans="6:6" x14ac:dyDescent="0.25">
      <c r="F2091" t="s">
        <v>2515</v>
      </c>
    </row>
    <row r="2092" spans="6:6" x14ac:dyDescent="0.25">
      <c r="F2092" t="s">
        <v>2516</v>
      </c>
    </row>
    <row r="2093" spans="6:6" x14ac:dyDescent="0.25">
      <c r="F2093" t="s">
        <v>2517</v>
      </c>
    </row>
    <row r="2094" spans="6:6" x14ac:dyDescent="0.25">
      <c r="F2094" t="s">
        <v>2518</v>
      </c>
    </row>
    <row r="2095" spans="6:6" x14ac:dyDescent="0.25">
      <c r="F2095" t="s">
        <v>2519</v>
      </c>
    </row>
    <row r="2096" spans="6:6" x14ac:dyDescent="0.25">
      <c r="F2096" t="s">
        <v>2520</v>
      </c>
    </row>
    <row r="2097" spans="6:6" x14ac:dyDescent="0.25">
      <c r="F2097" t="s">
        <v>2521</v>
      </c>
    </row>
    <row r="2098" spans="6:6" x14ac:dyDescent="0.25">
      <c r="F2098" t="s">
        <v>2522</v>
      </c>
    </row>
    <row r="2099" spans="6:6" x14ac:dyDescent="0.25">
      <c r="F2099" t="s">
        <v>2523</v>
      </c>
    </row>
    <row r="2100" spans="6:6" x14ac:dyDescent="0.25">
      <c r="F2100" t="s">
        <v>2524</v>
      </c>
    </row>
    <row r="2101" spans="6:6" x14ac:dyDescent="0.25">
      <c r="F2101" t="s">
        <v>2525</v>
      </c>
    </row>
    <row r="2102" spans="6:6" x14ac:dyDescent="0.25">
      <c r="F2102" t="s">
        <v>2526</v>
      </c>
    </row>
    <row r="2103" spans="6:6" x14ac:dyDescent="0.25">
      <c r="F2103" t="s">
        <v>2527</v>
      </c>
    </row>
    <row r="2104" spans="6:6" x14ac:dyDescent="0.25">
      <c r="F2104" t="s">
        <v>2528</v>
      </c>
    </row>
    <row r="2105" spans="6:6" x14ac:dyDescent="0.25">
      <c r="F2105" t="s">
        <v>2529</v>
      </c>
    </row>
    <row r="2106" spans="6:6" x14ac:dyDescent="0.25">
      <c r="F2106" t="s">
        <v>2530</v>
      </c>
    </row>
    <row r="2107" spans="6:6" x14ac:dyDescent="0.25">
      <c r="F2107" t="s">
        <v>2531</v>
      </c>
    </row>
    <row r="2108" spans="6:6" x14ac:dyDescent="0.25">
      <c r="F2108" t="s">
        <v>2532</v>
      </c>
    </row>
    <row r="2109" spans="6:6" x14ac:dyDescent="0.25">
      <c r="F2109" t="s">
        <v>2533</v>
      </c>
    </row>
    <row r="2110" spans="6:6" x14ac:dyDescent="0.25">
      <c r="F2110" t="s">
        <v>2534</v>
      </c>
    </row>
    <row r="2111" spans="6:6" x14ac:dyDescent="0.25">
      <c r="F2111" t="s">
        <v>2535</v>
      </c>
    </row>
    <row r="2112" spans="6:6" x14ac:dyDescent="0.25">
      <c r="F2112" t="s">
        <v>2536</v>
      </c>
    </row>
    <row r="2113" spans="6:6" x14ac:dyDescent="0.25">
      <c r="F2113" t="s">
        <v>2537</v>
      </c>
    </row>
    <row r="2114" spans="6:6" x14ac:dyDescent="0.25">
      <c r="F2114" t="s">
        <v>2538</v>
      </c>
    </row>
    <row r="2115" spans="6:6" x14ac:dyDescent="0.25">
      <c r="F2115" t="s">
        <v>2539</v>
      </c>
    </row>
    <row r="2116" spans="6:6" x14ac:dyDescent="0.25">
      <c r="F2116" t="s">
        <v>2540</v>
      </c>
    </row>
    <row r="2117" spans="6:6" x14ac:dyDescent="0.25">
      <c r="F2117" t="s">
        <v>2541</v>
      </c>
    </row>
    <row r="2118" spans="6:6" x14ac:dyDescent="0.25">
      <c r="F2118" t="s">
        <v>2542</v>
      </c>
    </row>
    <row r="2119" spans="6:6" x14ac:dyDescent="0.25">
      <c r="F2119" t="s">
        <v>2543</v>
      </c>
    </row>
    <row r="2120" spans="6:6" x14ac:dyDescent="0.25">
      <c r="F2120" t="s">
        <v>2544</v>
      </c>
    </row>
    <row r="2121" spans="6:6" x14ac:dyDescent="0.25">
      <c r="F2121" t="s">
        <v>2545</v>
      </c>
    </row>
    <row r="2122" spans="6:6" x14ac:dyDescent="0.25">
      <c r="F2122" t="s">
        <v>2546</v>
      </c>
    </row>
    <row r="2123" spans="6:6" x14ac:dyDescent="0.25">
      <c r="F2123" t="s">
        <v>2547</v>
      </c>
    </row>
    <row r="2124" spans="6:6" x14ac:dyDescent="0.25">
      <c r="F2124" t="s">
        <v>2548</v>
      </c>
    </row>
    <row r="2125" spans="6:6" x14ac:dyDescent="0.25">
      <c r="F2125" t="s">
        <v>2549</v>
      </c>
    </row>
    <row r="2126" spans="6:6" x14ac:dyDescent="0.25">
      <c r="F2126" t="s">
        <v>2550</v>
      </c>
    </row>
    <row r="2127" spans="6:6" x14ac:dyDescent="0.25">
      <c r="F2127" t="s">
        <v>2551</v>
      </c>
    </row>
    <row r="2128" spans="6:6" x14ac:dyDescent="0.25">
      <c r="F2128" t="s">
        <v>2552</v>
      </c>
    </row>
    <row r="2129" spans="6:6" x14ac:dyDescent="0.25">
      <c r="F2129" t="s">
        <v>2553</v>
      </c>
    </row>
    <row r="2130" spans="6:6" x14ac:dyDescent="0.25">
      <c r="F2130" t="s">
        <v>2554</v>
      </c>
    </row>
    <row r="2131" spans="6:6" x14ac:dyDescent="0.25">
      <c r="F2131" t="s">
        <v>2555</v>
      </c>
    </row>
    <row r="2132" spans="6:6" x14ac:dyDescent="0.25">
      <c r="F2132" t="s">
        <v>219</v>
      </c>
    </row>
    <row r="2133" spans="6:6" x14ac:dyDescent="0.25">
      <c r="F2133" t="s">
        <v>2556</v>
      </c>
    </row>
    <row r="2134" spans="6:6" x14ac:dyDescent="0.25">
      <c r="F2134" t="s">
        <v>2557</v>
      </c>
    </row>
    <row r="2135" spans="6:6" x14ac:dyDescent="0.25">
      <c r="F2135" t="s">
        <v>2558</v>
      </c>
    </row>
    <row r="2136" spans="6:6" x14ac:dyDescent="0.25">
      <c r="F2136" t="s">
        <v>2559</v>
      </c>
    </row>
    <row r="2137" spans="6:6" x14ac:dyDescent="0.25">
      <c r="F2137" t="s">
        <v>2560</v>
      </c>
    </row>
    <row r="2138" spans="6:6" x14ac:dyDescent="0.25">
      <c r="F2138" t="s">
        <v>2561</v>
      </c>
    </row>
    <row r="2139" spans="6:6" x14ac:dyDescent="0.25">
      <c r="F2139" t="s">
        <v>2562</v>
      </c>
    </row>
    <row r="2140" spans="6:6" x14ac:dyDescent="0.25">
      <c r="F2140" t="s">
        <v>2563</v>
      </c>
    </row>
    <row r="2141" spans="6:6" x14ac:dyDescent="0.25">
      <c r="F2141" t="s">
        <v>2564</v>
      </c>
    </row>
    <row r="2142" spans="6:6" x14ac:dyDescent="0.25">
      <c r="F2142" t="s">
        <v>2565</v>
      </c>
    </row>
    <row r="2143" spans="6:6" x14ac:dyDescent="0.25">
      <c r="F2143" t="s">
        <v>2566</v>
      </c>
    </row>
    <row r="2144" spans="6:6" x14ac:dyDescent="0.25">
      <c r="F2144" t="s">
        <v>2567</v>
      </c>
    </row>
    <row r="2145" spans="6:6" x14ac:dyDescent="0.25">
      <c r="F2145" t="s">
        <v>2568</v>
      </c>
    </row>
    <row r="2146" spans="6:6" x14ac:dyDescent="0.25">
      <c r="F2146" t="s">
        <v>2569</v>
      </c>
    </row>
    <row r="2147" spans="6:6" x14ac:dyDescent="0.25">
      <c r="F2147" t="s">
        <v>2570</v>
      </c>
    </row>
    <row r="2148" spans="6:6" x14ac:dyDescent="0.25">
      <c r="F2148" t="s">
        <v>2571</v>
      </c>
    </row>
    <row r="2149" spans="6:6" x14ac:dyDescent="0.25">
      <c r="F2149" t="s">
        <v>2572</v>
      </c>
    </row>
    <row r="2150" spans="6:6" x14ac:dyDescent="0.25">
      <c r="F2150" t="s">
        <v>2573</v>
      </c>
    </row>
    <row r="2151" spans="6:6" x14ac:dyDescent="0.25">
      <c r="F2151" t="s">
        <v>2574</v>
      </c>
    </row>
    <row r="2152" spans="6:6" x14ac:dyDescent="0.25">
      <c r="F2152" t="s">
        <v>2575</v>
      </c>
    </row>
    <row r="2153" spans="6:6" x14ac:dyDescent="0.25">
      <c r="F2153" t="s">
        <v>2576</v>
      </c>
    </row>
    <row r="2154" spans="6:6" x14ac:dyDescent="0.25">
      <c r="F2154" t="s">
        <v>2577</v>
      </c>
    </row>
    <row r="2155" spans="6:6" x14ac:dyDescent="0.25">
      <c r="F2155" t="s">
        <v>2578</v>
      </c>
    </row>
    <row r="2156" spans="6:6" x14ac:dyDescent="0.25">
      <c r="F2156" t="s">
        <v>2579</v>
      </c>
    </row>
    <row r="2157" spans="6:6" x14ac:dyDescent="0.25">
      <c r="F2157" t="s">
        <v>2580</v>
      </c>
    </row>
    <row r="2158" spans="6:6" x14ac:dyDescent="0.25">
      <c r="F2158" t="s">
        <v>2581</v>
      </c>
    </row>
    <row r="2159" spans="6:6" x14ac:dyDescent="0.25">
      <c r="F2159" t="s">
        <v>2582</v>
      </c>
    </row>
    <row r="2160" spans="6:6" x14ac:dyDescent="0.25">
      <c r="F2160" t="s">
        <v>2583</v>
      </c>
    </row>
    <row r="2161" spans="6:6" x14ac:dyDescent="0.25">
      <c r="F2161" t="s">
        <v>2584</v>
      </c>
    </row>
    <row r="2162" spans="6:6" x14ac:dyDescent="0.25">
      <c r="F2162" t="s">
        <v>2585</v>
      </c>
    </row>
    <row r="2163" spans="6:6" x14ac:dyDescent="0.25">
      <c r="F2163" t="s">
        <v>2586</v>
      </c>
    </row>
    <row r="2164" spans="6:6" x14ac:dyDescent="0.25">
      <c r="F2164" t="s">
        <v>2587</v>
      </c>
    </row>
    <row r="2165" spans="6:6" x14ac:dyDescent="0.25">
      <c r="F2165" t="s">
        <v>2588</v>
      </c>
    </row>
    <row r="2166" spans="6:6" x14ac:dyDescent="0.25">
      <c r="F2166" t="s">
        <v>2589</v>
      </c>
    </row>
    <row r="2167" spans="6:6" x14ac:dyDescent="0.25">
      <c r="F2167" t="s">
        <v>2590</v>
      </c>
    </row>
    <row r="2168" spans="6:6" x14ac:dyDescent="0.25">
      <c r="F2168" t="s">
        <v>2591</v>
      </c>
    </row>
    <row r="2169" spans="6:6" x14ac:dyDescent="0.25">
      <c r="F2169" t="s">
        <v>2592</v>
      </c>
    </row>
    <row r="2170" spans="6:6" x14ac:dyDescent="0.25">
      <c r="F2170" t="s">
        <v>2593</v>
      </c>
    </row>
    <row r="2171" spans="6:6" x14ac:dyDescent="0.25">
      <c r="F2171" t="s">
        <v>2594</v>
      </c>
    </row>
    <row r="2172" spans="6:6" x14ac:dyDescent="0.25">
      <c r="F2172" t="s">
        <v>2595</v>
      </c>
    </row>
    <row r="2173" spans="6:6" x14ac:dyDescent="0.25">
      <c r="F2173" t="s">
        <v>2596</v>
      </c>
    </row>
    <row r="2174" spans="6:6" x14ac:dyDescent="0.25">
      <c r="F2174" t="s">
        <v>2597</v>
      </c>
    </row>
    <row r="2175" spans="6:6" x14ac:dyDescent="0.25">
      <c r="F2175" t="s">
        <v>2598</v>
      </c>
    </row>
    <row r="2176" spans="6:6" x14ac:dyDescent="0.25">
      <c r="F2176" t="s">
        <v>2599</v>
      </c>
    </row>
    <row r="2177" spans="6:6" x14ac:dyDescent="0.25">
      <c r="F2177" t="s">
        <v>158</v>
      </c>
    </row>
    <row r="2178" spans="6:6" x14ac:dyDescent="0.25">
      <c r="F2178" t="s">
        <v>2600</v>
      </c>
    </row>
    <row r="2179" spans="6:6" x14ac:dyDescent="0.25">
      <c r="F2179" t="s">
        <v>2601</v>
      </c>
    </row>
    <row r="2180" spans="6:6" x14ac:dyDescent="0.25">
      <c r="F2180" t="s">
        <v>2602</v>
      </c>
    </row>
    <row r="2181" spans="6:6" x14ac:dyDescent="0.25">
      <c r="F2181" t="s">
        <v>2603</v>
      </c>
    </row>
    <row r="2182" spans="6:6" x14ac:dyDescent="0.25">
      <c r="F2182" t="s">
        <v>2604</v>
      </c>
    </row>
    <row r="2183" spans="6:6" x14ac:dyDescent="0.25">
      <c r="F2183" t="s">
        <v>2605</v>
      </c>
    </row>
    <row r="2184" spans="6:6" x14ac:dyDescent="0.25">
      <c r="F2184" t="s">
        <v>2606</v>
      </c>
    </row>
    <row r="2185" spans="6:6" x14ac:dyDescent="0.25">
      <c r="F2185" t="s">
        <v>2607</v>
      </c>
    </row>
    <row r="2186" spans="6:6" x14ac:dyDescent="0.25">
      <c r="F2186" t="s">
        <v>2608</v>
      </c>
    </row>
    <row r="2187" spans="6:6" x14ac:dyDescent="0.25">
      <c r="F2187" t="s">
        <v>2609</v>
      </c>
    </row>
    <row r="2188" spans="6:6" x14ac:dyDescent="0.25">
      <c r="F2188" t="s">
        <v>2610</v>
      </c>
    </row>
    <row r="2189" spans="6:6" x14ac:dyDescent="0.25">
      <c r="F2189" t="s">
        <v>2611</v>
      </c>
    </row>
    <row r="2190" spans="6:6" x14ac:dyDescent="0.25">
      <c r="F2190" t="s">
        <v>2612</v>
      </c>
    </row>
    <row r="2191" spans="6:6" x14ac:dyDescent="0.25">
      <c r="F2191" t="s">
        <v>2613</v>
      </c>
    </row>
    <row r="2192" spans="6:6" x14ac:dyDescent="0.25">
      <c r="F2192" t="s">
        <v>2614</v>
      </c>
    </row>
    <row r="2193" spans="6:6" x14ac:dyDescent="0.25">
      <c r="F2193" t="s">
        <v>2615</v>
      </c>
    </row>
    <row r="2194" spans="6:6" x14ac:dyDescent="0.25">
      <c r="F2194" t="s">
        <v>2616</v>
      </c>
    </row>
    <row r="2195" spans="6:6" x14ac:dyDescent="0.25">
      <c r="F2195" t="s">
        <v>2617</v>
      </c>
    </row>
    <row r="2196" spans="6:6" x14ac:dyDescent="0.25">
      <c r="F2196" t="s">
        <v>2618</v>
      </c>
    </row>
    <row r="2197" spans="6:6" x14ac:dyDescent="0.25">
      <c r="F2197" t="s">
        <v>2619</v>
      </c>
    </row>
    <row r="2198" spans="6:6" x14ac:dyDescent="0.25">
      <c r="F2198" t="s">
        <v>2620</v>
      </c>
    </row>
    <row r="2199" spans="6:6" x14ac:dyDescent="0.25">
      <c r="F2199" t="s">
        <v>2621</v>
      </c>
    </row>
    <row r="2200" spans="6:6" x14ac:dyDescent="0.25">
      <c r="F2200" t="s">
        <v>2622</v>
      </c>
    </row>
    <row r="2201" spans="6:6" x14ac:dyDescent="0.25">
      <c r="F2201" t="s">
        <v>982</v>
      </c>
    </row>
    <row r="2202" spans="6:6" x14ac:dyDescent="0.25">
      <c r="F2202" t="s">
        <v>2623</v>
      </c>
    </row>
    <row r="2203" spans="6:6" x14ac:dyDescent="0.25">
      <c r="F2203" t="s">
        <v>2624</v>
      </c>
    </row>
    <row r="2204" spans="6:6" x14ac:dyDescent="0.25">
      <c r="F2204" t="s">
        <v>2625</v>
      </c>
    </row>
    <row r="2205" spans="6:6" x14ac:dyDescent="0.25">
      <c r="F2205" t="s">
        <v>103</v>
      </c>
    </row>
    <row r="2206" spans="6:6" x14ac:dyDescent="0.25">
      <c r="F2206" t="s">
        <v>2626</v>
      </c>
    </row>
    <row r="2207" spans="6:6" x14ac:dyDescent="0.25">
      <c r="F2207" t="s">
        <v>2627</v>
      </c>
    </row>
    <row r="2208" spans="6:6" x14ac:dyDescent="0.25">
      <c r="F2208" t="s">
        <v>2628</v>
      </c>
    </row>
    <row r="2209" spans="6:6" x14ac:dyDescent="0.25">
      <c r="F2209" t="s">
        <v>2629</v>
      </c>
    </row>
    <row r="2210" spans="6:6" x14ac:dyDescent="0.25">
      <c r="F2210" t="s">
        <v>2630</v>
      </c>
    </row>
    <row r="2211" spans="6:6" x14ac:dyDescent="0.25">
      <c r="F2211" t="s">
        <v>2631</v>
      </c>
    </row>
    <row r="2212" spans="6:6" x14ac:dyDescent="0.25">
      <c r="F2212" t="s">
        <v>2632</v>
      </c>
    </row>
    <row r="2213" spans="6:6" x14ac:dyDescent="0.25">
      <c r="F2213" t="s">
        <v>2633</v>
      </c>
    </row>
    <row r="2214" spans="6:6" x14ac:dyDescent="0.25">
      <c r="F2214" t="s">
        <v>2634</v>
      </c>
    </row>
    <row r="2215" spans="6:6" x14ac:dyDescent="0.25">
      <c r="F2215" t="s">
        <v>2635</v>
      </c>
    </row>
    <row r="2216" spans="6:6" x14ac:dyDescent="0.25">
      <c r="F2216" t="s">
        <v>2636</v>
      </c>
    </row>
    <row r="2217" spans="6:6" x14ac:dyDescent="0.25">
      <c r="F2217" t="s">
        <v>2637</v>
      </c>
    </row>
    <row r="2218" spans="6:6" x14ac:dyDescent="0.25">
      <c r="F2218" t="s">
        <v>209</v>
      </c>
    </row>
    <row r="2219" spans="6:6" x14ac:dyDescent="0.25">
      <c r="F2219" t="s">
        <v>2638</v>
      </c>
    </row>
    <row r="2220" spans="6:6" x14ac:dyDescent="0.25">
      <c r="F2220" t="s">
        <v>2639</v>
      </c>
    </row>
    <row r="2221" spans="6:6" x14ac:dyDescent="0.25">
      <c r="F2221" t="s">
        <v>2640</v>
      </c>
    </row>
    <row r="2222" spans="6:6" x14ac:dyDescent="0.25">
      <c r="F2222" t="s">
        <v>2641</v>
      </c>
    </row>
    <row r="2223" spans="6:6" x14ac:dyDescent="0.25">
      <c r="F2223" t="s">
        <v>2642</v>
      </c>
    </row>
    <row r="2224" spans="6:6" x14ac:dyDescent="0.25">
      <c r="F2224" t="s">
        <v>2643</v>
      </c>
    </row>
    <row r="2225" spans="6:6" x14ac:dyDescent="0.25">
      <c r="F2225" t="s">
        <v>2644</v>
      </c>
    </row>
    <row r="2226" spans="6:6" x14ac:dyDescent="0.25">
      <c r="F2226" t="s">
        <v>2645</v>
      </c>
    </row>
    <row r="2227" spans="6:6" x14ac:dyDescent="0.25">
      <c r="F2227" t="s">
        <v>2646</v>
      </c>
    </row>
    <row r="2228" spans="6:6" x14ac:dyDescent="0.25">
      <c r="F2228" t="s">
        <v>2647</v>
      </c>
    </row>
    <row r="2229" spans="6:6" x14ac:dyDescent="0.25">
      <c r="F2229" t="s">
        <v>2648</v>
      </c>
    </row>
    <row r="2230" spans="6:6" x14ac:dyDescent="0.25">
      <c r="F2230" t="s">
        <v>2649</v>
      </c>
    </row>
    <row r="2231" spans="6:6" x14ac:dyDescent="0.25">
      <c r="F2231" t="s">
        <v>2650</v>
      </c>
    </row>
    <row r="2232" spans="6:6" x14ac:dyDescent="0.25">
      <c r="F2232" t="s">
        <v>2651</v>
      </c>
    </row>
    <row r="2233" spans="6:6" x14ac:dyDescent="0.25">
      <c r="F2233" t="s">
        <v>2652</v>
      </c>
    </row>
    <row r="2234" spans="6:6" x14ac:dyDescent="0.25">
      <c r="F2234" t="s">
        <v>2653</v>
      </c>
    </row>
    <row r="2235" spans="6:6" x14ac:dyDescent="0.25">
      <c r="F2235" t="s">
        <v>2654</v>
      </c>
    </row>
    <row r="2236" spans="6:6" x14ac:dyDescent="0.25">
      <c r="F2236" t="s">
        <v>2655</v>
      </c>
    </row>
    <row r="2237" spans="6:6" x14ac:dyDescent="0.25">
      <c r="F2237" t="s">
        <v>2656</v>
      </c>
    </row>
    <row r="2238" spans="6:6" x14ac:dyDescent="0.25">
      <c r="F2238" t="s">
        <v>2657</v>
      </c>
    </row>
    <row r="2239" spans="6:6" x14ac:dyDescent="0.25">
      <c r="F2239" t="s">
        <v>2658</v>
      </c>
    </row>
    <row r="2240" spans="6:6" x14ac:dyDescent="0.25">
      <c r="F2240" t="s">
        <v>2659</v>
      </c>
    </row>
    <row r="2241" spans="6:6" x14ac:dyDescent="0.25">
      <c r="F2241" t="s">
        <v>2660</v>
      </c>
    </row>
    <row r="2242" spans="6:6" x14ac:dyDescent="0.25">
      <c r="F2242" t="s">
        <v>2661</v>
      </c>
    </row>
    <row r="2243" spans="6:6" x14ac:dyDescent="0.25">
      <c r="F2243" t="s">
        <v>2662</v>
      </c>
    </row>
    <row r="2244" spans="6:6" x14ac:dyDescent="0.25">
      <c r="F2244" t="s">
        <v>2663</v>
      </c>
    </row>
    <row r="2245" spans="6:6" x14ac:dyDescent="0.25">
      <c r="F2245" t="s">
        <v>2664</v>
      </c>
    </row>
    <row r="2246" spans="6:6" x14ac:dyDescent="0.25">
      <c r="F2246" t="s">
        <v>2665</v>
      </c>
    </row>
    <row r="2247" spans="6:6" x14ac:dyDescent="0.25">
      <c r="F2247" t="s">
        <v>2666</v>
      </c>
    </row>
    <row r="2248" spans="6:6" x14ac:dyDescent="0.25">
      <c r="F2248" t="s">
        <v>2667</v>
      </c>
    </row>
    <row r="2249" spans="6:6" x14ac:dyDescent="0.25">
      <c r="F2249" t="s">
        <v>2668</v>
      </c>
    </row>
    <row r="2250" spans="6:6" x14ac:dyDescent="0.25">
      <c r="F2250" t="s">
        <v>2669</v>
      </c>
    </row>
    <row r="2251" spans="6:6" x14ac:dyDescent="0.25">
      <c r="F2251" t="s">
        <v>2670</v>
      </c>
    </row>
    <row r="2252" spans="6:6" x14ac:dyDescent="0.25">
      <c r="F2252" t="s">
        <v>2671</v>
      </c>
    </row>
    <row r="2253" spans="6:6" x14ac:dyDescent="0.25">
      <c r="F2253" t="s">
        <v>2672</v>
      </c>
    </row>
    <row r="2254" spans="6:6" x14ac:dyDescent="0.25">
      <c r="F2254" t="s">
        <v>2673</v>
      </c>
    </row>
    <row r="2255" spans="6:6" x14ac:dyDescent="0.25">
      <c r="F2255" t="s">
        <v>2674</v>
      </c>
    </row>
    <row r="2256" spans="6:6" x14ac:dyDescent="0.25">
      <c r="F2256" t="s">
        <v>2675</v>
      </c>
    </row>
    <row r="2257" spans="6:6" x14ac:dyDescent="0.25">
      <c r="F2257" t="s">
        <v>2676</v>
      </c>
    </row>
    <row r="2258" spans="6:6" x14ac:dyDescent="0.25">
      <c r="F2258" t="s">
        <v>2677</v>
      </c>
    </row>
    <row r="2259" spans="6:6" x14ac:dyDescent="0.25">
      <c r="F2259" t="s">
        <v>2678</v>
      </c>
    </row>
    <row r="2260" spans="6:6" x14ac:dyDescent="0.25">
      <c r="F2260" t="s">
        <v>2679</v>
      </c>
    </row>
    <row r="2261" spans="6:6" x14ac:dyDescent="0.25">
      <c r="F2261" t="s">
        <v>2680</v>
      </c>
    </row>
    <row r="2262" spans="6:6" x14ac:dyDescent="0.25">
      <c r="F2262" t="s">
        <v>2681</v>
      </c>
    </row>
    <row r="2263" spans="6:6" x14ac:dyDescent="0.25">
      <c r="F2263" t="s">
        <v>2682</v>
      </c>
    </row>
    <row r="2264" spans="6:6" x14ac:dyDescent="0.25">
      <c r="F2264" t="s">
        <v>2683</v>
      </c>
    </row>
    <row r="2265" spans="6:6" x14ac:dyDescent="0.25">
      <c r="F2265" t="s">
        <v>2684</v>
      </c>
    </row>
    <row r="2266" spans="6:6" x14ac:dyDescent="0.25">
      <c r="F2266" t="s">
        <v>2685</v>
      </c>
    </row>
    <row r="2267" spans="6:6" x14ac:dyDescent="0.25">
      <c r="F2267" t="s">
        <v>2686</v>
      </c>
    </row>
    <row r="2268" spans="6:6" x14ac:dyDescent="0.25">
      <c r="F2268" t="s">
        <v>2687</v>
      </c>
    </row>
    <row r="2269" spans="6:6" x14ac:dyDescent="0.25">
      <c r="F2269" t="s">
        <v>2688</v>
      </c>
    </row>
    <row r="2270" spans="6:6" x14ac:dyDescent="0.25">
      <c r="F2270" t="s">
        <v>2689</v>
      </c>
    </row>
    <row r="2271" spans="6:6" x14ac:dyDescent="0.25">
      <c r="F2271" t="s">
        <v>2690</v>
      </c>
    </row>
    <row r="2272" spans="6:6" x14ac:dyDescent="0.25">
      <c r="F2272" t="s">
        <v>2691</v>
      </c>
    </row>
    <row r="2273" spans="6:6" x14ac:dyDescent="0.25">
      <c r="F2273" t="s">
        <v>2692</v>
      </c>
    </row>
    <row r="2274" spans="6:6" x14ac:dyDescent="0.25">
      <c r="F2274" t="s">
        <v>2693</v>
      </c>
    </row>
    <row r="2275" spans="6:6" x14ac:dyDescent="0.25">
      <c r="F2275" t="s">
        <v>2694</v>
      </c>
    </row>
    <row r="2276" spans="6:6" x14ac:dyDescent="0.25">
      <c r="F2276" t="s">
        <v>2695</v>
      </c>
    </row>
    <row r="2277" spans="6:6" x14ac:dyDescent="0.25">
      <c r="F2277" t="s">
        <v>2696</v>
      </c>
    </row>
    <row r="2278" spans="6:6" x14ac:dyDescent="0.25">
      <c r="F2278" t="s">
        <v>2697</v>
      </c>
    </row>
    <row r="2279" spans="6:6" x14ac:dyDescent="0.25">
      <c r="F2279" t="s">
        <v>2698</v>
      </c>
    </row>
    <row r="2280" spans="6:6" x14ac:dyDescent="0.25">
      <c r="F2280" t="s">
        <v>2699</v>
      </c>
    </row>
    <row r="2281" spans="6:6" x14ac:dyDescent="0.25">
      <c r="F2281" t="s">
        <v>2700</v>
      </c>
    </row>
    <row r="2282" spans="6:6" x14ac:dyDescent="0.25">
      <c r="F2282" t="s">
        <v>2701</v>
      </c>
    </row>
    <row r="2283" spans="6:6" x14ac:dyDescent="0.25">
      <c r="F2283" t="s">
        <v>2702</v>
      </c>
    </row>
    <row r="2284" spans="6:6" x14ac:dyDescent="0.25">
      <c r="F2284" t="s">
        <v>2703</v>
      </c>
    </row>
    <row r="2285" spans="6:6" x14ac:dyDescent="0.25">
      <c r="F2285" t="s">
        <v>2704</v>
      </c>
    </row>
    <row r="2286" spans="6:6" x14ac:dyDescent="0.25">
      <c r="F2286" t="s">
        <v>2705</v>
      </c>
    </row>
    <row r="2287" spans="6:6" x14ac:dyDescent="0.25">
      <c r="F2287" t="s">
        <v>2706</v>
      </c>
    </row>
    <row r="2288" spans="6:6" x14ac:dyDescent="0.25">
      <c r="F2288" t="s">
        <v>2707</v>
      </c>
    </row>
    <row r="2289" spans="6:6" x14ac:dyDescent="0.25">
      <c r="F2289" t="s">
        <v>2708</v>
      </c>
    </row>
    <row r="2290" spans="6:6" x14ac:dyDescent="0.25">
      <c r="F2290" t="s">
        <v>235</v>
      </c>
    </row>
    <row r="2291" spans="6:6" x14ac:dyDescent="0.25">
      <c r="F2291" t="s">
        <v>2709</v>
      </c>
    </row>
    <row r="2292" spans="6:6" x14ac:dyDescent="0.25">
      <c r="F2292" t="s">
        <v>2710</v>
      </c>
    </row>
    <row r="2293" spans="6:6" x14ac:dyDescent="0.25">
      <c r="F2293" t="s">
        <v>2711</v>
      </c>
    </row>
    <row r="2294" spans="6:6" x14ac:dyDescent="0.25">
      <c r="F2294" t="s">
        <v>2712</v>
      </c>
    </row>
    <row r="2295" spans="6:6" x14ac:dyDescent="0.25">
      <c r="F2295" t="s">
        <v>2713</v>
      </c>
    </row>
    <row r="2296" spans="6:6" x14ac:dyDescent="0.25">
      <c r="F2296" t="s">
        <v>2714</v>
      </c>
    </row>
    <row r="2297" spans="6:6" x14ac:dyDescent="0.25">
      <c r="F2297" t="s">
        <v>2715</v>
      </c>
    </row>
    <row r="2298" spans="6:6" x14ac:dyDescent="0.25">
      <c r="F2298" t="s">
        <v>2716</v>
      </c>
    </row>
    <row r="2299" spans="6:6" x14ac:dyDescent="0.25">
      <c r="F2299" t="s">
        <v>2717</v>
      </c>
    </row>
    <row r="2300" spans="6:6" x14ac:dyDescent="0.25">
      <c r="F2300" t="s">
        <v>2718</v>
      </c>
    </row>
    <row r="2301" spans="6:6" x14ac:dyDescent="0.25">
      <c r="F2301" t="s">
        <v>2719</v>
      </c>
    </row>
    <row r="2302" spans="6:6" x14ac:dyDescent="0.25">
      <c r="F2302" t="s">
        <v>2720</v>
      </c>
    </row>
    <row r="2303" spans="6:6" x14ac:dyDescent="0.25">
      <c r="F2303" t="s">
        <v>2721</v>
      </c>
    </row>
    <row r="2304" spans="6:6" x14ac:dyDescent="0.25">
      <c r="F2304" t="s">
        <v>2722</v>
      </c>
    </row>
    <row r="2305" spans="6:6" x14ac:dyDescent="0.25">
      <c r="F2305" t="s">
        <v>2723</v>
      </c>
    </row>
    <row r="2306" spans="6:6" x14ac:dyDescent="0.25">
      <c r="F2306" t="s">
        <v>2724</v>
      </c>
    </row>
    <row r="2307" spans="6:6" x14ac:dyDescent="0.25">
      <c r="F2307" t="s">
        <v>2725</v>
      </c>
    </row>
    <row r="2308" spans="6:6" x14ac:dyDescent="0.25">
      <c r="F2308" t="s">
        <v>2726</v>
      </c>
    </row>
    <row r="2309" spans="6:6" x14ac:dyDescent="0.25">
      <c r="F2309" t="s">
        <v>2727</v>
      </c>
    </row>
    <row r="2310" spans="6:6" x14ac:dyDescent="0.25">
      <c r="F2310" t="s">
        <v>2728</v>
      </c>
    </row>
    <row r="2311" spans="6:6" x14ac:dyDescent="0.25">
      <c r="F2311" t="s">
        <v>2729</v>
      </c>
    </row>
    <row r="2312" spans="6:6" x14ac:dyDescent="0.25">
      <c r="F2312" t="s">
        <v>2730</v>
      </c>
    </row>
    <row r="2313" spans="6:6" x14ac:dyDescent="0.25">
      <c r="F2313" t="s">
        <v>2731</v>
      </c>
    </row>
    <row r="2314" spans="6:6" x14ac:dyDescent="0.25">
      <c r="F2314" t="s">
        <v>2732</v>
      </c>
    </row>
    <row r="2315" spans="6:6" x14ac:dyDescent="0.25">
      <c r="F2315" t="s">
        <v>2733</v>
      </c>
    </row>
    <row r="2316" spans="6:6" x14ac:dyDescent="0.25">
      <c r="F2316" t="s">
        <v>2734</v>
      </c>
    </row>
    <row r="2317" spans="6:6" x14ac:dyDescent="0.25">
      <c r="F2317" t="s">
        <v>2735</v>
      </c>
    </row>
    <row r="2318" spans="6:6" x14ac:dyDescent="0.25">
      <c r="F2318" t="s">
        <v>2736</v>
      </c>
    </row>
    <row r="2319" spans="6:6" x14ac:dyDescent="0.25">
      <c r="F2319" t="s">
        <v>2737</v>
      </c>
    </row>
    <row r="2320" spans="6:6" x14ac:dyDescent="0.25">
      <c r="F2320" t="s">
        <v>2738</v>
      </c>
    </row>
    <row r="2321" spans="6:6" x14ac:dyDescent="0.25">
      <c r="F2321" t="s">
        <v>2739</v>
      </c>
    </row>
    <row r="2322" spans="6:6" x14ac:dyDescent="0.25">
      <c r="F2322" t="s">
        <v>2740</v>
      </c>
    </row>
    <row r="2323" spans="6:6" x14ac:dyDescent="0.25">
      <c r="F2323" t="s">
        <v>2741</v>
      </c>
    </row>
    <row r="2324" spans="6:6" x14ac:dyDescent="0.25">
      <c r="F2324" t="s">
        <v>2742</v>
      </c>
    </row>
    <row r="2325" spans="6:6" x14ac:dyDescent="0.25">
      <c r="F2325" t="s">
        <v>2743</v>
      </c>
    </row>
    <row r="2326" spans="6:6" x14ac:dyDescent="0.25">
      <c r="F2326" t="s">
        <v>2744</v>
      </c>
    </row>
    <row r="2327" spans="6:6" x14ac:dyDescent="0.25">
      <c r="F2327" t="s">
        <v>2745</v>
      </c>
    </row>
    <row r="2328" spans="6:6" x14ac:dyDescent="0.25">
      <c r="F2328" t="s">
        <v>2746</v>
      </c>
    </row>
    <row r="2329" spans="6:6" x14ac:dyDescent="0.25">
      <c r="F2329" t="s">
        <v>2747</v>
      </c>
    </row>
    <row r="2330" spans="6:6" x14ac:dyDescent="0.25">
      <c r="F2330" t="s">
        <v>2748</v>
      </c>
    </row>
    <row r="2331" spans="6:6" x14ac:dyDescent="0.25">
      <c r="F2331" t="s">
        <v>2749</v>
      </c>
    </row>
    <row r="2332" spans="6:6" x14ac:dyDescent="0.25">
      <c r="F2332" t="s">
        <v>2750</v>
      </c>
    </row>
    <row r="2333" spans="6:6" x14ac:dyDescent="0.25">
      <c r="F2333" t="s">
        <v>2751</v>
      </c>
    </row>
    <row r="2334" spans="6:6" x14ac:dyDescent="0.25">
      <c r="F2334" t="s">
        <v>2752</v>
      </c>
    </row>
    <row r="2335" spans="6:6" x14ac:dyDescent="0.25">
      <c r="F2335" t="s">
        <v>2753</v>
      </c>
    </row>
    <row r="2336" spans="6:6" x14ac:dyDescent="0.25">
      <c r="F2336" t="s">
        <v>2754</v>
      </c>
    </row>
    <row r="2337" spans="6:6" x14ac:dyDescent="0.25">
      <c r="F2337" t="s">
        <v>2755</v>
      </c>
    </row>
    <row r="2338" spans="6:6" x14ac:dyDescent="0.25">
      <c r="F2338" t="s">
        <v>2756</v>
      </c>
    </row>
    <row r="2339" spans="6:6" x14ac:dyDescent="0.25">
      <c r="F2339" t="s">
        <v>2757</v>
      </c>
    </row>
    <row r="2340" spans="6:6" x14ac:dyDescent="0.25">
      <c r="F2340" t="s">
        <v>2758</v>
      </c>
    </row>
    <row r="2341" spans="6:6" x14ac:dyDescent="0.25">
      <c r="F2341" t="s">
        <v>2759</v>
      </c>
    </row>
    <row r="2342" spans="6:6" x14ac:dyDescent="0.25">
      <c r="F2342" t="s">
        <v>2760</v>
      </c>
    </row>
    <row r="2343" spans="6:6" x14ac:dyDescent="0.25">
      <c r="F2343" t="s">
        <v>2761</v>
      </c>
    </row>
    <row r="2344" spans="6:6" x14ac:dyDescent="0.25">
      <c r="F2344" t="s">
        <v>2762</v>
      </c>
    </row>
    <row r="2345" spans="6:6" x14ac:dyDescent="0.25">
      <c r="F2345" t="s">
        <v>2763</v>
      </c>
    </row>
    <row r="2346" spans="6:6" x14ac:dyDescent="0.25">
      <c r="F2346" t="s">
        <v>2764</v>
      </c>
    </row>
    <row r="2347" spans="6:6" x14ac:dyDescent="0.25">
      <c r="F2347" t="s">
        <v>2765</v>
      </c>
    </row>
    <row r="2348" spans="6:6" x14ac:dyDescent="0.25">
      <c r="F2348" t="s">
        <v>2766</v>
      </c>
    </row>
    <row r="2349" spans="6:6" x14ac:dyDescent="0.25">
      <c r="F2349" t="s">
        <v>102</v>
      </c>
    </row>
    <row r="2350" spans="6:6" x14ac:dyDescent="0.25">
      <c r="F2350" t="s">
        <v>2767</v>
      </c>
    </row>
    <row r="2351" spans="6:6" x14ac:dyDescent="0.25">
      <c r="F2351" t="s">
        <v>2768</v>
      </c>
    </row>
    <row r="2352" spans="6:6" x14ac:dyDescent="0.25">
      <c r="F2352" t="s">
        <v>2769</v>
      </c>
    </row>
    <row r="2353" spans="6:6" x14ac:dyDescent="0.25">
      <c r="F2353" t="s">
        <v>2770</v>
      </c>
    </row>
    <row r="2354" spans="6:6" x14ac:dyDescent="0.25">
      <c r="F2354" t="s">
        <v>2771</v>
      </c>
    </row>
    <row r="2355" spans="6:6" x14ac:dyDescent="0.25">
      <c r="F2355" t="s">
        <v>2772</v>
      </c>
    </row>
    <row r="2356" spans="6:6" x14ac:dyDescent="0.25">
      <c r="F2356" t="s">
        <v>2773</v>
      </c>
    </row>
    <row r="2357" spans="6:6" x14ac:dyDescent="0.25">
      <c r="F2357" t="s">
        <v>2774</v>
      </c>
    </row>
    <row r="2358" spans="6:6" x14ac:dyDescent="0.25">
      <c r="F2358" t="s">
        <v>2775</v>
      </c>
    </row>
    <row r="2359" spans="6:6" x14ac:dyDescent="0.25">
      <c r="F2359" t="s">
        <v>2776</v>
      </c>
    </row>
    <row r="2360" spans="6:6" x14ac:dyDescent="0.25">
      <c r="F2360" t="s">
        <v>2777</v>
      </c>
    </row>
    <row r="2361" spans="6:6" x14ac:dyDescent="0.25">
      <c r="F2361" t="s">
        <v>2778</v>
      </c>
    </row>
    <row r="2362" spans="6:6" x14ac:dyDescent="0.25">
      <c r="F2362" t="s">
        <v>2779</v>
      </c>
    </row>
    <row r="2363" spans="6:6" x14ac:dyDescent="0.25">
      <c r="F2363" t="s">
        <v>2780</v>
      </c>
    </row>
    <row r="2364" spans="6:6" x14ac:dyDescent="0.25">
      <c r="F2364" t="s">
        <v>2781</v>
      </c>
    </row>
    <row r="2365" spans="6:6" x14ac:dyDescent="0.25">
      <c r="F2365" t="s">
        <v>2782</v>
      </c>
    </row>
    <row r="2366" spans="6:6" x14ac:dyDescent="0.25">
      <c r="F2366" t="s">
        <v>2783</v>
      </c>
    </row>
    <row r="2367" spans="6:6" x14ac:dyDescent="0.25">
      <c r="F2367" t="s">
        <v>2784</v>
      </c>
    </row>
    <row r="2368" spans="6:6" x14ac:dyDescent="0.25">
      <c r="F2368" t="s">
        <v>2785</v>
      </c>
    </row>
    <row r="2369" spans="6:6" x14ac:dyDescent="0.25">
      <c r="F2369" t="s">
        <v>67</v>
      </c>
    </row>
    <row r="2370" spans="6:6" x14ac:dyDescent="0.25">
      <c r="F2370" t="s">
        <v>2786</v>
      </c>
    </row>
    <row r="2371" spans="6:6" x14ac:dyDescent="0.25">
      <c r="F2371" t="s">
        <v>2787</v>
      </c>
    </row>
    <row r="2372" spans="6:6" x14ac:dyDescent="0.25">
      <c r="F2372" t="s">
        <v>2788</v>
      </c>
    </row>
    <row r="2373" spans="6:6" x14ac:dyDescent="0.25">
      <c r="F2373" t="s">
        <v>2789</v>
      </c>
    </row>
    <row r="2374" spans="6:6" x14ac:dyDescent="0.25">
      <c r="F2374" t="s">
        <v>2790</v>
      </c>
    </row>
    <row r="2375" spans="6:6" x14ac:dyDescent="0.25">
      <c r="F2375" t="s">
        <v>2791</v>
      </c>
    </row>
    <row r="2376" spans="6:6" x14ac:dyDescent="0.25">
      <c r="F2376" t="s">
        <v>2792</v>
      </c>
    </row>
    <row r="2377" spans="6:6" x14ac:dyDescent="0.25">
      <c r="F2377" t="s">
        <v>2793</v>
      </c>
    </row>
    <row r="2378" spans="6:6" x14ac:dyDescent="0.25">
      <c r="F2378" t="s">
        <v>2794</v>
      </c>
    </row>
    <row r="2379" spans="6:6" x14ac:dyDescent="0.25">
      <c r="F2379" t="s">
        <v>2795</v>
      </c>
    </row>
    <row r="2380" spans="6:6" x14ac:dyDescent="0.25">
      <c r="F2380" t="s">
        <v>2796</v>
      </c>
    </row>
    <row r="2381" spans="6:6" x14ac:dyDescent="0.25">
      <c r="F2381" t="s">
        <v>2797</v>
      </c>
    </row>
    <row r="2382" spans="6:6" x14ac:dyDescent="0.25">
      <c r="F2382" t="s">
        <v>2798</v>
      </c>
    </row>
    <row r="2383" spans="6:6" x14ac:dyDescent="0.25">
      <c r="F2383" t="s">
        <v>2799</v>
      </c>
    </row>
    <row r="2384" spans="6:6" x14ac:dyDescent="0.25">
      <c r="F2384" t="s">
        <v>2800</v>
      </c>
    </row>
    <row r="2385" spans="6:6" x14ac:dyDescent="0.25">
      <c r="F2385" t="s">
        <v>2801</v>
      </c>
    </row>
    <row r="2386" spans="6:6" x14ac:dyDescent="0.25">
      <c r="F2386" t="s">
        <v>2802</v>
      </c>
    </row>
    <row r="2387" spans="6:6" x14ac:dyDescent="0.25">
      <c r="F2387" t="s">
        <v>2803</v>
      </c>
    </row>
    <row r="2388" spans="6:6" x14ac:dyDescent="0.25">
      <c r="F2388" t="s">
        <v>2804</v>
      </c>
    </row>
    <row r="2389" spans="6:6" x14ac:dyDescent="0.25">
      <c r="F2389" t="s">
        <v>2805</v>
      </c>
    </row>
    <row r="2390" spans="6:6" x14ac:dyDescent="0.25">
      <c r="F2390" t="s">
        <v>2806</v>
      </c>
    </row>
    <row r="2391" spans="6:6" x14ac:dyDescent="0.25">
      <c r="F2391" t="s">
        <v>2807</v>
      </c>
    </row>
    <row r="2392" spans="6:6" x14ac:dyDescent="0.25">
      <c r="F2392" t="s">
        <v>2808</v>
      </c>
    </row>
    <row r="2393" spans="6:6" x14ac:dyDescent="0.25">
      <c r="F2393" t="s">
        <v>2809</v>
      </c>
    </row>
    <row r="2394" spans="6:6" x14ac:dyDescent="0.25">
      <c r="F2394" t="s">
        <v>2810</v>
      </c>
    </row>
    <row r="2395" spans="6:6" x14ac:dyDescent="0.25">
      <c r="F2395" t="s">
        <v>2811</v>
      </c>
    </row>
    <row r="2396" spans="6:6" x14ac:dyDescent="0.25">
      <c r="F2396" t="s">
        <v>2812</v>
      </c>
    </row>
    <row r="2397" spans="6:6" x14ac:dyDescent="0.25">
      <c r="F2397" t="s">
        <v>2813</v>
      </c>
    </row>
    <row r="2398" spans="6:6" x14ac:dyDescent="0.25">
      <c r="F2398" t="s">
        <v>2814</v>
      </c>
    </row>
    <row r="2399" spans="6:6" x14ac:dyDescent="0.25">
      <c r="F2399" t="s">
        <v>2815</v>
      </c>
    </row>
    <row r="2400" spans="6:6" x14ac:dyDescent="0.25">
      <c r="F2400" t="s">
        <v>2816</v>
      </c>
    </row>
    <row r="2401" spans="6:6" x14ac:dyDescent="0.25">
      <c r="F2401" t="s">
        <v>2817</v>
      </c>
    </row>
    <row r="2402" spans="6:6" x14ac:dyDescent="0.25">
      <c r="F2402" t="s">
        <v>2818</v>
      </c>
    </row>
    <row r="2403" spans="6:6" x14ac:dyDescent="0.25">
      <c r="F2403" t="s">
        <v>2819</v>
      </c>
    </row>
    <row r="2404" spans="6:6" x14ac:dyDescent="0.25">
      <c r="F2404" t="s">
        <v>2820</v>
      </c>
    </row>
    <row r="2405" spans="6:6" x14ac:dyDescent="0.25">
      <c r="F2405" t="s">
        <v>2821</v>
      </c>
    </row>
    <row r="2406" spans="6:6" x14ac:dyDescent="0.25">
      <c r="F2406" t="s">
        <v>2822</v>
      </c>
    </row>
    <row r="2407" spans="6:6" x14ac:dyDescent="0.25">
      <c r="F2407" t="s">
        <v>2823</v>
      </c>
    </row>
    <row r="2408" spans="6:6" x14ac:dyDescent="0.25">
      <c r="F2408" t="s">
        <v>2824</v>
      </c>
    </row>
    <row r="2409" spans="6:6" x14ac:dyDescent="0.25">
      <c r="F2409" t="s">
        <v>2825</v>
      </c>
    </row>
    <row r="2410" spans="6:6" x14ac:dyDescent="0.25">
      <c r="F2410" t="s">
        <v>2826</v>
      </c>
    </row>
    <row r="2411" spans="6:6" x14ac:dyDescent="0.25">
      <c r="F2411" t="s">
        <v>2827</v>
      </c>
    </row>
    <row r="2412" spans="6:6" x14ac:dyDescent="0.25">
      <c r="F2412" t="s">
        <v>2828</v>
      </c>
    </row>
    <row r="2413" spans="6:6" x14ac:dyDescent="0.25">
      <c r="F2413" t="s">
        <v>2829</v>
      </c>
    </row>
    <row r="2414" spans="6:6" x14ac:dyDescent="0.25">
      <c r="F2414" t="s">
        <v>2830</v>
      </c>
    </row>
    <row r="2415" spans="6:6" x14ac:dyDescent="0.25">
      <c r="F2415" t="s">
        <v>2831</v>
      </c>
    </row>
    <row r="2416" spans="6:6" x14ac:dyDescent="0.25">
      <c r="F2416" t="s">
        <v>2832</v>
      </c>
    </row>
    <row r="2417" spans="6:6" x14ac:dyDescent="0.25">
      <c r="F2417" t="s">
        <v>2833</v>
      </c>
    </row>
    <row r="2418" spans="6:6" x14ac:dyDescent="0.25">
      <c r="F2418" t="s">
        <v>2834</v>
      </c>
    </row>
    <row r="2419" spans="6:6" x14ac:dyDescent="0.25">
      <c r="F2419" t="s">
        <v>2835</v>
      </c>
    </row>
    <row r="2420" spans="6:6" x14ac:dyDescent="0.25">
      <c r="F2420" t="s">
        <v>2836</v>
      </c>
    </row>
    <row r="2421" spans="6:6" x14ac:dyDescent="0.25">
      <c r="F2421" t="s">
        <v>2837</v>
      </c>
    </row>
  </sheetData>
  <phoneticPr fontId="2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530F3-6072-41AB-902E-4BF2B3EFBD78}">
  <dimension ref="A1:T312"/>
  <sheetViews>
    <sheetView zoomScale="85" zoomScaleNormal="85" workbookViewId="0">
      <selection activeCell="I8" sqref="I8"/>
    </sheetView>
  </sheetViews>
  <sheetFormatPr defaultRowHeight="13.2" x14ac:dyDescent="0.25"/>
  <cols>
    <col min="2" max="2" width="11.6640625" bestFit="1" customWidth="1"/>
    <col min="3" max="3" width="17.88671875" bestFit="1" customWidth="1"/>
    <col min="4" max="4" width="20.5546875" bestFit="1" customWidth="1"/>
    <col min="5" max="5" width="9.21875" bestFit="1" customWidth="1"/>
    <col min="6" max="6" width="9.77734375" bestFit="1" customWidth="1"/>
    <col min="7" max="7" width="14.44140625" bestFit="1" customWidth="1"/>
    <col min="19" max="19" width="14.6640625" bestFit="1" customWidth="1"/>
  </cols>
  <sheetData>
    <row r="1" spans="1:20" x14ac:dyDescent="0.25">
      <c r="A1" t="s">
        <v>4309</v>
      </c>
      <c r="B1" s="1" t="s">
        <v>4909</v>
      </c>
      <c r="C1" t="s">
        <v>4310</v>
      </c>
      <c r="D1" t="s">
        <v>4311</v>
      </c>
      <c r="E1" s="1" t="s">
        <v>4518</v>
      </c>
      <c r="F1" t="s">
        <v>4312</v>
      </c>
      <c r="G1" s="1" t="s">
        <v>4313</v>
      </c>
      <c r="H1" s="1" t="s">
        <v>4307</v>
      </c>
      <c r="M1" s="1" t="s">
        <v>4910</v>
      </c>
      <c r="N1" t="str">
        <f ca="1">r_fname_f()</f>
        <v>Rosaura</v>
      </c>
      <c r="O1" s="1" t="s">
        <v>2561</v>
      </c>
      <c r="P1" s="1" t="s">
        <v>4903</v>
      </c>
      <c r="Q1" s="1" t="s">
        <v>4918</v>
      </c>
      <c r="S1" t="s">
        <v>4309</v>
      </c>
      <c r="T1" t="s">
        <v>5399</v>
      </c>
    </row>
    <row r="2" spans="1:20" x14ac:dyDescent="0.25">
      <c r="A2" s="1" t="s">
        <v>4590</v>
      </c>
      <c r="B2" s="1" t="str">
        <f t="shared" ref="B2:B65" ca="1" si="0">r_choice($M$1:$M$3)</f>
        <v>Female</v>
      </c>
      <c r="C2" t="str">
        <f ca="1">IF(B2 = "Male", r_fname_m(), IF(B2 = "Female", r_fname_f(), r_choice($N$1:$N$10)))&amp; " " &amp; r_lname()</f>
        <v>Queen Benavides</v>
      </c>
      <c r="D2" t="str">
        <f ca="1">r_integer(0,300)&amp; " " &amp; r_lname()&amp; " "&amp; r_choice($O$1:$O$6)</f>
        <v>162 Parsons Avenue</v>
      </c>
      <c r="E2" t="str">
        <f t="shared" ref="E2:E65" ca="1" si="1">r_choice($P$1:$P$5)</f>
        <v>CENTRAL</v>
      </c>
      <c r="F2" t="str">
        <f ca="1">r_choice($Q$1:$Q$4)</f>
        <v>LOW</v>
      </c>
      <c r="G2" s="1"/>
      <c r="H2" t="str">
        <f t="shared" ref="H2:H65" ca="1" si="2">r_choice($M$5:$M$6)</f>
        <v>YES</v>
      </c>
      <c r="M2" s="1" t="s">
        <v>4911</v>
      </c>
      <c r="N2" t="str">
        <f ca="1">r_fname_m()</f>
        <v>Douglas</v>
      </c>
      <c r="O2" s="1" t="s">
        <v>4913</v>
      </c>
      <c r="P2" s="1" t="s">
        <v>4905</v>
      </c>
      <c r="Q2" s="1" t="s">
        <v>4919</v>
      </c>
      <c r="S2" s="1" t="s">
        <v>4909</v>
      </c>
      <c r="T2" s="1" t="s">
        <v>5399</v>
      </c>
    </row>
    <row r="3" spans="1:20" x14ac:dyDescent="0.25">
      <c r="A3" s="1" t="s">
        <v>4591</v>
      </c>
      <c r="B3" s="1" t="str">
        <f t="shared" ca="1" si="0"/>
        <v>Female</v>
      </c>
      <c r="C3" t="str">
        <f ca="1">IF(B3 = "Male", r_fname_m(), IF(B3 = "Female", r_fname_f(), r_choice($N$1:$N$10)))&amp; " " &amp; r_lname()</f>
        <v>Joann Cornelius</v>
      </c>
      <c r="D3" t="str">
        <f ca="1">r_integer(0,300)&amp; " " &amp; r_lname()&amp; " "&amp; r_choice($O$1:$O$6)</f>
        <v>44 Sforza Avenue</v>
      </c>
      <c r="E3" t="str">
        <f t="shared" ca="1" si="1"/>
        <v>CENTRAL</v>
      </c>
      <c r="F3" t="str">
        <f t="shared" ref="F3:F66" ca="1" si="3">r_choice($Q$1:$Q$4)</f>
        <v>VIP</v>
      </c>
      <c r="G3" s="1"/>
      <c r="H3" t="str">
        <f t="shared" ca="1" si="2"/>
        <v>NO</v>
      </c>
      <c r="M3" s="1" t="s">
        <v>4912</v>
      </c>
      <c r="N3" t="str">
        <f ca="1">r_fname_f()</f>
        <v>Ardis</v>
      </c>
      <c r="O3" s="1" t="s">
        <v>4914</v>
      </c>
      <c r="P3" s="1" t="s">
        <v>4904</v>
      </c>
      <c r="Q3" s="1" t="s">
        <v>4920</v>
      </c>
      <c r="S3" t="s">
        <v>4310</v>
      </c>
      <c r="T3" t="s">
        <v>5399</v>
      </c>
    </row>
    <row r="4" spans="1:20" x14ac:dyDescent="0.25">
      <c r="A4" s="1" t="s">
        <v>4592</v>
      </c>
      <c r="B4" s="1" t="str">
        <f t="shared" ca="1" si="0"/>
        <v>Female</v>
      </c>
      <c r="C4" t="str">
        <f ca="1">IF(B4 = "Male", r_fname_m(), IF(B4 = "Female", r_fname_f(), r_choice($N$1:$N$10)))&amp; " " &amp; r_lname()</f>
        <v>Lexi De Chirico</v>
      </c>
      <c r="D4" t="str">
        <f ca="1">r_integer(0,300)&amp; " " &amp; r_lname()&amp; " "&amp; r_choice($O$1:$O$6)</f>
        <v>221 Gustavson Square</v>
      </c>
      <c r="E4" t="str">
        <f t="shared" ca="1" si="1"/>
        <v>WEST</v>
      </c>
      <c r="F4" t="str">
        <f t="shared" ca="1" si="3"/>
        <v>VIP</v>
      </c>
      <c r="G4" s="1"/>
      <c r="H4" t="str">
        <f t="shared" ca="1" si="2"/>
        <v>NO</v>
      </c>
      <c r="N4" t="str">
        <f ca="1">r_fname_m()</f>
        <v>Ali</v>
      </c>
      <c r="O4" s="1" t="s">
        <v>467</v>
      </c>
      <c r="P4" s="1" t="s">
        <v>4906</v>
      </c>
      <c r="Q4" s="1" t="s">
        <v>4921</v>
      </c>
      <c r="S4" t="s">
        <v>4311</v>
      </c>
      <c r="T4" t="s">
        <v>5399</v>
      </c>
    </row>
    <row r="5" spans="1:20" x14ac:dyDescent="0.25">
      <c r="A5" s="1" t="s">
        <v>4593</v>
      </c>
      <c r="B5" s="1" t="str">
        <f t="shared" ca="1" si="0"/>
        <v>Other</v>
      </c>
      <c r="C5" t="str">
        <f ca="1">IF(B5 = "Male", r_fname_m(), IF(B5 = "Female", r_fname_f(), r_choice($N$1:$N$10)))&amp; " " &amp; r_lname()</f>
        <v>Rosaura Montano</v>
      </c>
      <c r="D5" t="str">
        <f ca="1">r_integer(0,300)&amp; " " &amp; r_lname()&amp; " "&amp; r_choice($O$1:$O$6)</f>
        <v>131 Rubic Place</v>
      </c>
      <c r="E5" t="str">
        <f t="shared" ca="1" si="1"/>
        <v>CENTRAL</v>
      </c>
      <c r="F5" t="str">
        <f t="shared" ca="1" si="3"/>
        <v>LOW</v>
      </c>
      <c r="G5" s="1"/>
      <c r="H5" t="str">
        <f t="shared" ca="1" si="2"/>
        <v>NO</v>
      </c>
      <c r="M5" s="1" t="s">
        <v>4972</v>
      </c>
      <c r="N5" t="str">
        <f ca="1">r_fname_f()</f>
        <v>Novella</v>
      </c>
      <c r="O5" s="1" t="s">
        <v>4915</v>
      </c>
      <c r="P5" s="1" t="s">
        <v>4907</v>
      </c>
      <c r="S5" s="1" t="s">
        <v>4518</v>
      </c>
      <c r="T5" s="1" t="s">
        <v>5399</v>
      </c>
    </row>
    <row r="6" spans="1:20" x14ac:dyDescent="0.25">
      <c r="A6" s="1" t="s">
        <v>4594</v>
      </c>
      <c r="B6" s="1" t="str">
        <f t="shared" ca="1" si="0"/>
        <v>Female</v>
      </c>
      <c r="C6" t="str">
        <f ca="1">IF(B6 = "Male", r_fname_m(), IF(B6 = "Female", r_fname_f(), r_choice($N$1:$N$10)))&amp; " " &amp; r_lname()</f>
        <v>Shaniqua Engle</v>
      </c>
      <c r="D6" t="str">
        <f ca="1">r_integer(0,300)&amp; " " &amp; r_lname()&amp; " "&amp; r_choice($O$1:$O$6)</f>
        <v>52 Cheltenham Square</v>
      </c>
      <c r="E6" t="str">
        <f t="shared" ca="1" si="1"/>
        <v>WEST</v>
      </c>
      <c r="F6" t="str">
        <f t="shared" ca="1" si="3"/>
        <v>LOW</v>
      </c>
      <c r="G6" s="1" t="s">
        <v>4962</v>
      </c>
      <c r="H6" t="str">
        <f t="shared" ca="1" si="2"/>
        <v>YES</v>
      </c>
      <c r="M6" s="1" t="s">
        <v>4973</v>
      </c>
      <c r="N6" t="str">
        <f ca="1">r_fname_m()</f>
        <v>Jaimito</v>
      </c>
      <c r="O6" s="1" t="s">
        <v>1364</v>
      </c>
      <c r="S6" t="s">
        <v>4312</v>
      </c>
      <c r="T6" s="1" t="s">
        <v>5399</v>
      </c>
    </row>
    <row r="7" spans="1:20" x14ac:dyDescent="0.25">
      <c r="A7" s="1" t="s">
        <v>4595</v>
      </c>
      <c r="B7" s="1" t="str">
        <f t="shared" ca="1" si="0"/>
        <v>Other</v>
      </c>
      <c r="C7" t="str">
        <f ca="1">IF(B7 = "Male", r_fname_m(), IF(B7 = "Female", r_fname_f(), r_choice($N$1:$N$10)))&amp; " " &amp; r_lname()</f>
        <v>Delma Milindria</v>
      </c>
      <c r="D7" t="str">
        <f ca="1">r_integer(0,300)&amp; " " &amp; r_lname()&amp; " "&amp; r_choice($O$1:$O$6)</f>
        <v>81 Tuttle Square</v>
      </c>
      <c r="E7" t="str">
        <f t="shared" ca="1" si="1"/>
        <v>SOUTH</v>
      </c>
      <c r="F7" t="str">
        <f t="shared" ca="1" si="3"/>
        <v>VIP</v>
      </c>
      <c r="G7" s="1"/>
      <c r="H7" t="str">
        <f t="shared" ca="1" si="2"/>
        <v>NO</v>
      </c>
      <c r="N7" t="str">
        <f ca="1">r_fname_f()</f>
        <v>Else</v>
      </c>
      <c r="S7" s="1" t="s">
        <v>4313</v>
      </c>
      <c r="T7" s="1" t="s">
        <v>5399</v>
      </c>
    </row>
    <row r="8" spans="1:20" x14ac:dyDescent="0.25">
      <c r="A8" s="1" t="s">
        <v>4596</v>
      </c>
      <c r="B8" s="1" t="str">
        <f t="shared" ca="1" si="0"/>
        <v>Male</v>
      </c>
      <c r="C8" t="str">
        <f ca="1">IF(B8 = "Male", r_fname_m(), IF(B8 = "Female", r_fname_f(), r_choice($N$1:$N$10)))&amp; " " &amp; r_lname()</f>
        <v>Clayton Romero</v>
      </c>
      <c r="D8" t="str">
        <f ca="1">r_integer(0,300)&amp; " " &amp; r_lname()&amp; " "&amp; r_choice($O$1:$O$6)</f>
        <v>54 Landers Lane</v>
      </c>
      <c r="E8" t="str">
        <f t="shared" ca="1" si="1"/>
        <v>SOUTH</v>
      </c>
      <c r="F8" t="str">
        <f t="shared" ca="1" si="3"/>
        <v>MED</v>
      </c>
      <c r="G8" s="1" t="s">
        <v>4961</v>
      </c>
      <c r="H8" t="str">
        <f t="shared" ca="1" si="2"/>
        <v>NO</v>
      </c>
      <c r="N8" t="str">
        <f ca="1">r_fname_f()</f>
        <v>Olive</v>
      </c>
      <c r="S8" s="1" t="s">
        <v>4307</v>
      </c>
      <c r="T8" s="1" t="s">
        <v>5399</v>
      </c>
    </row>
    <row r="9" spans="1:20" x14ac:dyDescent="0.25">
      <c r="A9" s="1" t="s">
        <v>4597</v>
      </c>
      <c r="B9" s="1" t="str">
        <f t="shared" ca="1" si="0"/>
        <v>Male</v>
      </c>
      <c r="C9" t="str">
        <f ca="1">IF(B9 = "Male", r_fname_m(), IF(B9 = "Female", r_fname_f(), r_choice($N$1:$N$10)))&amp; " " &amp; r_lname()</f>
        <v>Myron Salas</v>
      </c>
      <c r="D9" t="str">
        <f ca="1">r_integer(0,300)&amp; " " &amp; r_lname()&amp; " "&amp; r_choice($O$1:$O$6)</f>
        <v>21 Logan Place</v>
      </c>
      <c r="E9" t="str">
        <f t="shared" ca="1" si="1"/>
        <v>WEST</v>
      </c>
      <c r="F9" t="str">
        <f t="shared" ca="1" si="3"/>
        <v>LOW</v>
      </c>
      <c r="G9" s="1"/>
      <c r="H9" t="str">
        <f t="shared" ca="1" si="2"/>
        <v>YES</v>
      </c>
      <c r="N9" t="str">
        <f ca="1">r_fname_m()</f>
        <v>Basil</v>
      </c>
    </row>
    <row r="10" spans="1:20" x14ac:dyDescent="0.25">
      <c r="A10" s="1" t="s">
        <v>4598</v>
      </c>
      <c r="B10" s="1" t="str">
        <f t="shared" ca="1" si="0"/>
        <v>Male</v>
      </c>
      <c r="C10" t="str">
        <f ca="1">IF(B10 = "Male", r_fname_m(), IF(B10 = "Female", r_fname_f(), r_choice($N$1:$N$10)))&amp; " " &amp; r_lname()</f>
        <v>Dorian Burnes</v>
      </c>
      <c r="D10" t="str">
        <f ca="1">r_integer(0,300)&amp; " " &amp; r_lname()&amp; " "&amp; r_choice($O$1:$O$6)</f>
        <v>252 Marceau Square</v>
      </c>
      <c r="E10" t="str">
        <f t="shared" ca="1" si="1"/>
        <v>SOUTH</v>
      </c>
      <c r="F10" t="str">
        <f t="shared" ca="1" si="3"/>
        <v>LOW</v>
      </c>
      <c r="G10" s="1" t="s">
        <v>4542</v>
      </c>
      <c r="H10" t="str">
        <f t="shared" ca="1" si="2"/>
        <v>NO</v>
      </c>
      <c r="N10" t="str">
        <f ca="1">r_fname_f()</f>
        <v>Delma</v>
      </c>
    </row>
    <row r="11" spans="1:20" x14ac:dyDescent="0.25">
      <c r="A11" s="1" t="s">
        <v>4599</v>
      </c>
      <c r="B11" s="1" t="str">
        <f t="shared" ca="1" si="0"/>
        <v>Female</v>
      </c>
      <c r="C11" t="str">
        <f ca="1">IF(B11 = "Male", r_fname_m(), IF(B11 = "Female", r_fname_f(), r_choice($N$1:$N$10)))&amp; " " &amp; r_lname()</f>
        <v>Trinian Reichstag</v>
      </c>
      <c r="D11" t="str">
        <f ca="1">r_integer(0,300)&amp; " " &amp; r_lname()&amp; " "&amp; r_choice($O$1:$O$6)</f>
        <v>285 Corcoran Avenue</v>
      </c>
      <c r="E11" t="str">
        <f t="shared" ca="1" si="1"/>
        <v>NORTH</v>
      </c>
      <c r="F11" t="str">
        <f t="shared" ca="1" si="3"/>
        <v>VIP</v>
      </c>
      <c r="G11" s="1"/>
      <c r="H11" t="str">
        <f t="shared" ca="1" si="2"/>
        <v>NO</v>
      </c>
    </row>
    <row r="12" spans="1:20" x14ac:dyDescent="0.25">
      <c r="A12" s="1" t="s">
        <v>4600</v>
      </c>
      <c r="B12" s="1" t="str">
        <f t="shared" ca="1" si="0"/>
        <v>Female</v>
      </c>
      <c r="C12" t="str">
        <f ca="1">IF(B12 = "Male", r_fname_m(), IF(B12 = "Female", r_fname_f(), r_choice($N$1:$N$10)))&amp; " " &amp; r_lname()</f>
        <v>Ekave Hull</v>
      </c>
      <c r="D12" t="str">
        <f ca="1">r_integer(0,300)&amp; " " &amp; r_lname()&amp; " "&amp; r_choice($O$1:$O$6)</f>
        <v>247 Rosales Avenue</v>
      </c>
      <c r="E12" t="str">
        <f t="shared" ca="1" si="1"/>
        <v>CENTRAL</v>
      </c>
      <c r="F12" t="str">
        <f t="shared" ca="1" si="3"/>
        <v>MED</v>
      </c>
      <c r="G12" s="1"/>
      <c r="H12" t="str">
        <f t="shared" ca="1" si="2"/>
        <v>YES</v>
      </c>
    </row>
    <row r="13" spans="1:20" x14ac:dyDescent="0.25">
      <c r="A13" s="1" t="s">
        <v>4601</v>
      </c>
      <c r="B13" s="1" t="str">
        <f t="shared" ca="1" si="0"/>
        <v>Male</v>
      </c>
      <c r="C13" t="str">
        <f ca="1">IF(B13 = "Male", r_fname_m(), IF(B13 = "Female", r_fname_f(), r_choice($N$1:$N$10)))&amp; " " &amp; r_lname()</f>
        <v>Walton Belis</v>
      </c>
      <c r="D13" t="str">
        <f ca="1">r_integer(0,300)&amp; " " &amp; r_lname()&amp; " "&amp; r_choice($O$1:$O$6)</f>
        <v>59 Goins Avenue</v>
      </c>
      <c r="E13" t="str">
        <f t="shared" ca="1" si="1"/>
        <v>EAST</v>
      </c>
      <c r="F13" t="str">
        <f t="shared" ca="1" si="3"/>
        <v>LOW</v>
      </c>
      <c r="G13" s="1"/>
      <c r="H13" t="str">
        <f t="shared" ca="1" si="2"/>
        <v>YES</v>
      </c>
      <c r="M13" t="str">
        <f t="shared" ref="M13:M76" ca="1" si="4">insertinto(A2:H2,$S$1:$T$8,"Customers")</f>
        <v>insert into Customers values ('cust-001', 'Female', 'Queen Benavides', '162 Parsons Avenue', 'CENTRAL', 'LOW', null, 'YES');</v>
      </c>
    </row>
    <row r="14" spans="1:20" x14ac:dyDescent="0.25">
      <c r="A14" s="1" t="s">
        <v>4602</v>
      </c>
      <c r="B14" s="1" t="str">
        <f t="shared" ca="1" si="0"/>
        <v>Other</v>
      </c>
      <c r="C14" t="str">
        <f ca="1">IF(B14 = "Male", r_fname_m(), IF(B14 = "Female", r_fname_f(), r_choice($N$1:$N$10)))&amp; " " &amp; r_lname()</f>
        <v>Olive Fairweather</v>
      </c>
      <c r="D14" t="str">
        <f ca="1">r_integer(0,300)&amp; " " &amp; r_lname()&amp; " "&amp; r_choice($O$1:$O$6)</f>
        <v>274 Walsh Park</v>
      </c>
      <c r="E14" t="str">
        <f t="shared" ca="1" si="1"/>
        <v>NORTH</v>
      </c>
      <c r="F14" t="str">
        <f t="shared" ca="1" si="3"/>
        <v>VIP</v>
      </c>
      <c r="G14" s="1" t="s">
        <v>4930</v>
      </c>
      <c r="H14" t="str">
        <f t="shared" ca="1" si="2"/>
        <v>YES</v>
      </c>
      <c r="M14" t="str">
        <f t="shared" ca="1" si="4"/>
        <v>insert into Customers values ('cust-002', 'Female', 'Joann Cornelius', '44 Sforza Avenue', 'CENTRAL', 'VIP', null, 'NO');</v>
      </c>
    </row>
    <row r="15" spans="1:20" x14ac:dyDescent="0.25">
      <c r="A15" s="1" t="s">
        <v>4603</v>
      </c>
      <c r="B15" s="1" t="str">
        <f t="shared" ca="1" si="0"/>
        <v>Other</v>
      </c>
      <c r="C15" t="str">
        <f ca="1">IF(B15 = "Male", r_fname_m(), IF(B15 = "Female", r_fname_f(), r_choice($N$1:$N$10)))&amp; " " &amp; r_lname()</f>
        <v>Ali Keats</v>
      </c>
      <c r="D15" t="str">
        <f ca="1">r_integer(0,300)&amp; " " &amp; r_lname()&amp; " "&amp; r_choice($O$1:$O$6)</f>
        <v>299 Bovary Lane</v>
      </c>
      <c r="E15" t="str">
        <f t="shared" ca="1" si="1"/>
        <v>SOUTH</v>
      </c>
      <c r="F15" t="str">
        <f t="shared" ca="1" si="3"/>
        <v>MED</v>
      </c>
      <c r="G15" s="1"/>
      <c r="H15" t="str">
        <f t="shared" ca="1" si="2"/>
        <v>NO</v>
      </c>
      <c r="M15" t="str">
        <f t="shared" ca="1" si="4"/>
        <v>insert into Customers values ('cust-003', 'Female', 'Lexi De Chirico', '221 Gustavson Square', 'WEST', 'VIP', null, 'NO');</v>
      </c>
    </row>
    <row r="16" spans="1:20" x14ac:dyDescent="0.25">
      <c r="A16" s="1" t="s">
        <v>4604</v>
      </c>
      <c r="B16" s="1" t="str">
        <f t="shared" ca="1" si="0"/>
        <v>Female</v>
      </c>
      <c r="C16" t="str">
        <f ca="1">IF(B16 = "Male", r_fname_m(), IF(B16 = "Female", r_fname_f(), r_choice($N$1:$N$10)))&amp; " " &amp; r_lname()</f>
        <v>Melissa Conrad</v>
      </c>
      <c r="D16" t="str">
        <f ca="1">r_integer(0,300)&amp; " " &amp; r_lname()&amp; " "&amp; r_choice($O$1:$O$6)</f>
        <v>291 Minor Park</v>
      </c>
      <c r="E16" t="str">
        <f t="shared" ca="1" si="1"/>
        <v>WEST</v>
      </c>
      <c r="F16" t="str">
        <f t="shared" ca="1" si="3"/>
        <v>HIGH</v>
      </c>
      <c r="G16" s="1" t="s">
        <v>4931</v>
      </c>
      <c r="H16" t="str">
        <f t="shared" ca="1" si="2"/>
        <v>YES</v>
      </c>
      <c r="M16" t="str">
        <f t="shared" ca="1" si="4"/>
        <v>insert into Customers values ('cust-004', 'Other', 'Rosaura Montano', '131 Rubic Place', 'CENTRAL', 'LOW', null, 'NO');</v>
      </c>
    </row>
    <row r="17" spans="1:13" x14ac:dyDescent="0.25">
      <c r="A17" s="1" t="s">
        <v>4605</v>
      </c>
      <c r="B17" s="1" t="str">
        <f t="shared" ca="1" si="0"/>
        <v>Other</v>
      </c>
      <c r="C17" t="str">
        <f ca="1">IF(B17 = "Male", r_fname_m(), IF(B17 = "Female", r_fname_f(), r_choice($N$1:$N$10)))&amp; " " &amp; r_lname()</f>
        <v>Novella Hopper</v>
      </c>
      <c r="D17" t="str">
        <f ca="1">r_integer(0,300)&amp; " " &amp; r_lname()&amp; " "&amp; r_choice($O$1:$O$6)</f>
        <v>29 Brewster Avenue</v>
      </c>
      <c r="E17" t="str">
        <f t="shared" ca="1" si="1"/>
        <v>WEST</v>
      </c>
      <c r="F17" t="str">
        <f t="shared" ca="1" si="3"/>
        <v>LOW</v>
      </c>
      <c r="G17" s="1" t="s">
        <v>4955</v>
      </c>
      <c r="H17" t="str">
        <f t="shared" ca="1" si="2"/>
        <v>YES</v>
      </c>
      <c r="M17" t="str">
        <f t="shared" ca="1" si="4"/>
        <v>insert into Customers values ('cust-005', 'Female', 'Shaniqua Engle', '52 Cheltenham Square', 'WEST', 'LOW', 'crd_090', 'YES');</v>
      </c>
    </row>
    <row r="18" spans="1:13" x14ac:dyDescent="0.25">
      <c r="A18" s="1" t="s">
        <v>4606</v>
      </c>
      <c r="B18" s="1" t="str">
        <f t="shared" ca="1" si="0"/>
        <v>Female</v>
      </c>
      <c r="C18" t="str">
        <f ca="1">IF(B18 = "Male", r_fname_m(), IF(B18 = "Female", r_fname_f(), r_choice($N$1:$N$10)))&amp; " " &amp; r_lname()</f>
        <v>Latia Gorman</v>
      </c>
      <c r="D18" t="str">
        <f ca="1">r_integer(0,300)&amp; " " &amp; r_lname()&amp; " "&amp; r_choice($O$1:$O$6)</f>
        <v>289 Redmond Street</v>
      </c>
      <c r="E18" t="str">
        <f t="shared" ca="1" si="1"/>
        <v>SOUTH</v>
      </c>
      <c r="F18" t="str">
        <f t="shared" ca="1" si="3"/>
        <v>VIP</v>
      </c>
      <c r="G18" s="1"/>
      <c r="H18" t="str">
        <f t="shared" ca="1" si="2"/>
        <v>NO</v>
      </c>
      <c r="M18" t="str">
        <f t="shared" ca="1" si="4"/>
        <v>insert into Customers values ('cust-006', 'Other', 'Delma Milindria', '81 Tuttle Square', 'SOUTH', 'VIP', null, 'NO');</v>
      </c>
    </row>
    <row r="19" spans="1:13" x14ac:dyDescent="0.25">
      <c r="A19" s="1" t="s">
        <v>4607</v>
      </c>
      <c r="B19" s="1" t="str">
        <f t="shared" ca="1" si="0"/>
        <v>Male</v>
      </c>
      <c r="C19" t="str">
        <f ca="1">IF(B19 = "Male", r_fname_m(), IF(B19 = "Female", r_fname_f(), r_choice($N$1:$N$10)))&amp; " " &amp; r_lname()</f>
        <v>Bob Riley</v>
      </c>
      <c r="D19" t="str">
        <f ca="1">r_integer(0,300)&amp; " " &amp; r_lname()&amp; " "&amp; r_choice($O$1:$O$6)</f>
        <v>216 Ibarra Park</v>
      </c>
      <c r="E19" t="str">
        <f t="shared" ca="1" si="1"/>
        <v>SOUTH</v>
      </c>
      <c r="F19" t="str">
        <f t="shared" ca="1" si="3"/>
        <v>MED</v>
      </c>
      <c r="G19" s="1"/>
      <c r="H19" t="str">
        <f t="shared" ca="1" si="2"/>
        <v>YES</v>
      </c>
      <c r="M19" t="str">
        <f t="shared" ca="1" si="4"/>
        <v>insert into Customers values ('cust-007', 'Male', 'Clayton Romero', '54 Landers Lane', 'SOUTH', 'MED', 'crd_089', 'NO');</v>
      </c>
    </row>
    <row r="20" spans="1:13" x14ac:dyDescent="0.25">
      <c r="A20" s="1" t="s">
        <v>4608</v>
      </c>
      <c r="B20" s="1" t="str">
        <f t="shared" ca="1" si="0"/>
        <v>Female</v>
      </c>
      <c r="C20" t="str">
        <f ca="1">IF(B20 = "Male", r_fname_m(), IF(B20 = "Female", r_fname_f(), r_choice($N$1:$N$10)))&amp; " " &amp; r_lname()</f>
        <v>Olympia Sumner</v>
      </c>
      <c r="D20" t="str">
        <f ca="1">r_integer(0,300)&amp; " " &amp; r_lname()&amp; " "&amp; r_choice($O$1:$O$6)</f>
        <v>52 Judd Square</v>
      </c>
      <c r="E20" t="str">
        <f t="shared" ca="1" si="1"/>
        <v>NORTH</v>
      </c>
      <c r="F20" t="str">
        <f t="shared" ca="1" si="3"/>
        <v>HIGH</v>
      </c>
      <c r="G20" s="1"/>
      <c r="H20" t="str">
        <f t="shared" ca="1" si="2"/>
        <v>YES</v>
      </c>
      <c r="M20" t="str">
        <f t="shared" ca="1" si="4"/>
        <v>insert into Customers values ('cust-008', 'Male', 'Myron Salas', '21 Logan Place', 'WEST', 'LOW', null, 'YES');</v>
      </c>
    </row>
    <row r="21" spans="1:13" x14ac:dyDescent="0.25">
      <c r="A21" s="1" t="s">
        <v>4609</v>
      </c>
      <c r="B21" s="1" t="str">
        <f t="shared" ca="1" si="0"/>
        <v>Male</v>
      </c>
      <c r="C21" t="str">
        <f ca="1">IF(B21 = "Male", r_fname_m(), IF(B21 = "Female", r_fname_f(), r_choice($N$1:$N$10)))&amp; " " &amp; r_lname()</f>
        <v>Dewitt Lecter</v>
      </c>
      <c r="D21" t="str">
        <f ca="1">r_integer(0,300)&amp; " " &amp; r_lname()&amp; " "&amp; r_choice($O$1:$O$6)</f>
        <v>273 Cates Lane</v>
      </c>
      <c r="E21" t="str">
        <f t="shared" ca="1" si="1"/>
        <v>WEST</v>
      </c>
      <c r="F21" t="str">
        <f t="shared" ca="1" si="3"/>
        <v>MED</v>
      </c>
      <c r="G21" s="1"/>
      <c r="H21" t="str">
        <f t="shared" ca="1" si="2"/>
        <v>NO</v>
      </c>
      <c r="M21" t="str">
        <f t="shared" ca="1" si="4"/>
        <v>insert into Customers values ('cust-009', 'Male', 'Dorian Burnes', '252 Marceau Square', 'SOUTH', 'LOW', 'crd_002', 'NO');</v>
      </c>
    </row>
    <row r="22" spans="1:13" x14ac:dyDescent="0.25">
      <c r="A22" s="1" t="s">
        <v>4610</v>
      </c>
      <c r="B22" s="1" t="str">
        <f t="shared" ca="1" si="0"/>
        <v>Male</v>
      </c>
      <c r="C22" t="str">
        <f ca="1">IF(B22 = "Male", r_fname_m(), IF(B22 = "Female", r_fname_f(), r_choice($N$1:$N$10)))&amp; " " &amp; r_lname()</f>
        <v>Miles Leonards</v>
      </c>
      <c r="D22" t="str">
        <f ca="1">r_integer(0,300)&amp; " " &amp; r_lname()&amp; " "&amp; r_choice($O$1:$O$6)</f>
        <v>166 Velez Street</v>
      </c>
      <c r="E22" t="str">
        <f t="shared" ca="1" si="1"/>
        <v>WEST</v>
      </c>
      <c r="F22" t="str">
        <f t="shared" ca="1" si="3"/>
        <v>MED</v>
      </c>
      <c r="G22" s="1"/>
      <c r="H22" t="str">
        <f t="shared" ca="1" si="2"/>
        <v>YES</v>
      </c>
      <c r="M22" t="str">
        <f t="shared" ca="1" si="4"/>
        <v>insert into Customers values ('cust-010', 'Female', 'Trinian Reichstag', '285 Corcoran Avenue', 'NORTH', 'VIP', null, 'NO');</v>
      </c>
    </row>
    <row r="23" spans="1:13" x14ac:dyDescent="0.25">
      <c r="A23" s="1" t="s">
        <v>4611</v>
      </c>
      <c r="B23" s="1" t="str">
        <f t="shared" ca="1" si="0"/>
        <v>Male</v>
      </c>
      <c r="C23" t="str">
        <f ca="1">IF(B23 = "Male", r_fname_m(), IF(B23 = "Female", r_fname_f(), r_choice($N$1:$N$10)))&amp; " " &amp; r_lname()</f>
        <v>Hollis Pelletier</v>
      </c>
      <c r="D23" t="str">
        <f ca="1">r_integer(0,300)&amp; " " &amp; r_lname()&amp; " "&amp; r_choice($O$1:$O$6)</f>
        <v>4 Knox Avenue</v>
      </c>
      <c r="E23" t="str">
        <f t="shared" ca="1" si="1"/>
        <v>SOUTH</v>
      </c>
      <c r="F23" t="str">
        <f t="shared" ca="1" si="3"/>
        <v>LOW</v>
      </c>
      <c r="G23" s="1"/>
      <c r="H23" t="str">
        <f t="shared" ca="1" si="2"/>
        <v>YES</v>
      </c>
      <c r="M23" t="str">
        <f t="shared" ca="1" si="4"/>
        <v>insert into Customers values ('cust-011', 'Female', 'Ekave Hull', '247 Rosales Avenue', 'CENTRAL', 'MED', null, 'YES');</v>
      </c>
    </row>
    <row r="24" spans="1:13" x14ac:dyDescent="0.25">
      <c r="A24" s="1" t="s">
        <v>4612</v>
      </c>
      <c r="B24" s="1" t="str">
        <f t="shared" ca="1" si="0"/>
        <v>Other</v>
      </c>
      <c r="C24" t="str">
        <f ca="1">IF(B24 = "Male", r_fname_m(), IF(B24 = "Female", r_fname_f(), r_choice($N$1:$N$10)))&amp; " " &amp; r_lname()</f>
        <v>Novella Roth</v>
      </c>
      <c r="D24" t="str">
        <f ca="1">r_integer(0,300)&amp; " " &amp; r_lname()&amp; " "&amp; r_choice($O$1:$O$6)</f>
        <v>154 Estes Park</v>
      </c>
      <c r="E24" t="str">
        <f t="shared" ca="1" si="1"/>
        <v>NORTH</v>
      </c>
      <c r="F24" t="str">
        <f t="shared" ca="1" si="3"/>
        <v>HIGH</v>
      </c>
      <c r="G24" s="1" t="s">
        <v>4952</v>
      </c>
      <c r="H24" t="str">
        <f t="shared" ca="1" si="2"/>
        <v>YES</v>
      </c>
      <c r="M24" t="str">
        <f t="shared" ca="1" si="4"/>
        <v>insert into Customers values ('cust-012', 'Male', 'Walton Belis', '59 Goins Avenue', 'EAST', 'LOW', null, 'YES');</v>
      </c>
    </row>
    <row r="25" spans="1:13" x14ac:dyDescent="0.25">
      <c r="A25" s="1" t="s">
        <v>4613</v>
      </c>
      <c r="B25" s="1" t="str">
        <f t="shared" ca="1" si="0"/>
        <v>Male</v>
      </c>
      <c r="C25" t="str">
        <f ca="1">IF(B25 = "Male", r_fname_m(), IF(B25 = "Female", r_fname_f(), r_choice($N$1:$N$10)))&amp; " " &amp; r_lname()</f>
        <v>Shelby Dobbs</v>
      </c>
      <c r="D25" t="str">
        <f ca="1">r_integer(0,300)&amp; " " &amp; r_lname()&amp; " "&amp; r_choice($O$1:$O$6)</f>
        <v>100 Albright Park</v>
      </c>
      <c r="E25" t="str">
        <f t="shared" ca="1" si="1"/>
        <v>NORTH</v>
      </c>
      <c r="F25" t="str">
        <f t="shared" ca="1" si="3"/>
        <v>VIP</v>
      </c>
      <c r="G25" s="1"/>
      <c r="H25" t="str">
        <f t="shared" ca="1" si="2"/>
        <v>NO</v>
      </c>
      <c r="M25" t="str">
        <f t="shared" ca="1" si="4"/>
        <v>insert into Customers values ('cust-013', 'Other', 'Olive Fairweather', '274 Walsh Park', 'NORTH', 'VIP', 'crd_058', 'YES');</v>
      </c>
    </row>
    <row r="26" spans="1:13" x14ac:dyDescent="0.25">
      <c r="A26" s="1" t="s">
        <v>4614</v>
      </c>
      <c r="B26" s="1" t="str">
        <f t="shared" ca="1" si="0"/>
        <v>Other</v>
      </c>
      <c r="C26" t="str">
        <f ca="1">IF(B26 = "Male", r_fname_m(), IF(B26 = "Female", r_fname_f(), r_choice($N$1:$N$10)))&amp; " " &amp; r_lname()</f>
        <v>Ardis Hickman</v>
      </c>
      <c r="D26" t="str">
        <f ca="1">r_integer(0,300)&amp; " " &amp; r_lname()&amp; " "&amp; r_choice($O$1:$O$6)</f>
        <v>124 Callahan Park</v>
      </c>
      <c r="E26" t="str">
        <f t="shared" ca="1" si="1"/>
        <v>SOUTH</v>
      </c>
      <c r="F26" t="str">
        <f t="shared" ca="1" si="3"/>
        <v>LOW</v>
      </c>
      <c r="G26" s="1"/>
      <c r="H26" t="str">
        <f t="shared" ca="1" si="2"/>
        <v>NO</v>
      </c>
      <c r="M26" t="str">
        <f t="shared" ca="1" si="4"/>
        <v>insert into Customers values ('cust-014', 'Other', 'Ali Keats', '299 Bovary Lane', 'SOUTH', 'MED', null, 'NO');</v>
      </c>
    </row>
    <row r="27" spans="1:13" x14ac:dyDescent="0.25">
      <c r="A27" s="1" t="s">
        <v>4615</v>
      </c>
      <c r="B27" s="1" t="str">
        <f t="shared" ca="1" si="0"/>
        <v>Other</v>
      </c>
      <c r="C27" t="str">
        <f ca="1">IF(B27 = "Male", r_fname_m(), IF(B27 = "Female", r_fname_f(), r_choice($N$1:$N$10)))&amp; " " &amp; r_lname()</f>
        <v>Rosaura Ventura</v>
      </c>
      <c r="D27" t="str">
        <f ca="1">r_integer(0,300)&amp; " " &amp; r_lname()&amp; " "&amp; r_choice($O$1:$O$6)</f>
        <v>29 Straut Lane</v>
      </c>
      <c r="E27" t="str">
        <f t="shared" ca="1" si="1"/>
        <v>EAST</v>
      </c>
      <c r="F27" t="str">
        <f t="shared" ca="1" si="3"/>
        <v>MED</v>
      </c>
      <c r="G27" s="1"/>
      <c r="H27" t="str">
        <f t="shared" ca="1" si="2"/>
        <v>NO</v>
      </c>
      <c r="M27" t="str">
        <f t="shared" ca="1" si="4"/>
        <v>insert into Customers values ('cust-015', 'Female', 'Melissa Conrad', '291 Minor Park', 'WEST', 'HIGH', 'crd_059', 'YES');</v>
      </c>
    </row>
    <row r="28" spans="1:13" x14ac:dyDescent="0.25">
      <c r="A28" s="1" t="s">
        <v>4616</v>
      </c>
      <c r="B28" s="1" t="str">
        <f t="shared" ca="1" si="0"/>
        <v>Female</v>
      </c>
      <c r="C28" t="str">
        <f ca="1">IF(B28 = "Male", r_fname_m(), IF(B28 = "Female", r_fname_f(), r_choice($N$1:$N$10)))&amp; " " &amp; r_lname()</f>
        <v>Olympia Melvin</v>
      </c>
      <c r="D28" t="str">
        <f ca="1">r_integer(0,300)&amp; " " &amp; r_lname()&amp; " "&amp; r_choice($O$1:$O$6)</f>
        <v>97 Cole Avenue</v>
      </c>
      <c r="E28" t="str">
        <f t="shared" ca="1" si="1"/>
        <v>SOUTH</v>
      </c>
      <c r="F28" t="str">
        <f t="shared" ca="1" si="3"/>
        <v>MED</v>
      </c>
      <c r="G28" s="1"/>
      <c r="H28" t="str">
        <f t="shared" ca="1" si="2"/>
        <v>YES</v>
      </c>
      <c r="M28" t="str">
        <f t="shared" ca="1" si="4"/>
        <v>insert into Customers values ('cust-016', 'Other', 'Novella Hopper', '29 Brewster Avenue', 'WEST', 'LOW', 'crd_083', 'YES');</v>
      </c>
    </row>
    <row r="29" spans="1:13" x14ac:dyDescent="0.25">
      <c r="A29" s="1" t="s">
        <v>4617</v>
      </c>
      <c r="B29" s="1" t="str">
        <f t="shared" ca="1" si="0"/>
        <v>Other</v>
      </c>
      <c r="C29" t="str">
        <f ca="1">IF(B29 = "Male", r_fname_m(), IF(B29 = "Female", r_fname_f(), r_choice($N$1:$N$10)))&amp; " " &amp; r_lname()</f>
        <v>Delma Gomes</v>
      </c>
      <c r="D29" t="str">
        <f ca="1">r_integer(0,300)&amp; " " &amp; r_lname()&amp; " "&amp; r_choice($O$1:$O$6)</f>
        <v>286 Flood Avenue</v>
      </c>
      <c r="E29" t="str">
        <f t="shared" ca="1" si="1"/>
        <v>NORTH</v>
      </c>
      <c r="F29" t="str">
        <f t="shared" ca="1" si="3"/>
        <v>HIGH</v>
      </c>
      <c r="G29" s="1"/>
      <c r="H29" t="str">
        <f t="shared" ca="1" si="2"/>
        <v>NO</v>
      </c>
      <c r="M29" t="str">
        <f t="shared" ca="1" si="4"/>
        <v>insert into Customers values ('cust-017', 'Female', 'Latia Gorman', '289 Redmond Street', 'SOUTH', 'VIP', null, 'NO');</v>
      </c>
    </row>
    <row r="30" spans="1:13" x14ac:dyDescent="0.25">
      <c r="A30" s="1" t="s">
        <v>4618</v>
      </c>
      <c r="B30" s="1" t="str">
        <f t="shared" ca="1" si="0"/>
        <v>Female</v>
      </c>
      <c r="C30" t="str">
        <f ca="1">IF(B30 = "Male", r_fname_m(), IF(B30 = "Female", r_fname_f(), r_choice($N$1:$N$10)))&amp; " " &amp; r_lname()</f>
        <v>Margaret Waddell</v>
      </c>
      <c r="D30" t="str">
        <f ca="1">r_integer(0,300)&amp; " " &amp; r_lname()&amp; " "&amp; r_choice($O$1:$O$6)</f>
        <v>74 Felix Avenue</v>
      </c>
      <c r="E30" t="str">
        <f t="shared" ca="1" si="1"/>
        <v>CENTRAL</v>
      </c>
      <c r="F30" t="str">
        <f t="shared" ca="1" si="3"/>
        <v>MED</v>
      </c>
      <c r="G30" s="1" t="s">
        <v>4559</v>
      </c>
      <c r="H30" t="str">
        <f t="shared" ca="1" si="2"/>
        <v>NO</v>
      </c>
      <c r="M30" t="str">
        <f t="shared" ca="1" si="4"/>
        <v>insert into Customers values ('cust-018', 'Male', 'Bob Riley', '216 Ibarra Park', 'SOUTH', 'MED', null, 'YES');</v>
      </c>
    </row>
    <row r="31" spans="1:13" x14ac:dyDescent="0.25">
      <c r="A31" s="1" t="s">
        <v>4619</v>
      </c>
      <c r="B31" s="1" t="str">
        <f t="shared" ca="1" si="0"/>
        <v>Male</v>
      </c>
      <c r="C31" t="str">
        <f ca="1">IF(B31 = "Male", r_fname_m(), IF(B31 = "Female", r_fname_f(), r_choice($N$1:$N$10)))&amp; " " &amp; r_lname()</f>
        <v>Elisha Dudley</v>
      </c>
      <c r="D31" t="str">
        <f ca="1">r_integer(0,300)&amp; " " &amp; r_lname()&amp; " "&amp; r_choice($O$1:$O$6)</f>
        <v>232 Mathers Lane</v>
      </c>
      <c r="E31" t="str">
        <f t="shared" ca="1" si="1"/>
        <v>SOUTH</v>
      </c>
      <c r="F31" t="str">
        <f t="shared" ca="1" si="3"/>
        <v>VIP</v>
      </c>
      <c r="G31" s="1"/>
      <c r="H31" t="str">
        <f t="shared" ca="1" si="2"/>
        <v>YES</v>
      </c>
      <c r="M31" t="str">
        <f t="shared" ca="1" si="4"/>
        <v>insert into Customers values ('cust-019', 'Female', 'Olympia Sumner', '52 Judd Square', 'NORTH', 'HIGH', null, 'YES');</v>
      </c>
    </row>
    <row r="32" spans="1:13" x14ac:dyDescent="0.25">
      <c r="A32" s="1" t="s">
        <v>4620</v>
      </c>
      <c r="B32" s="1" t="str">
        <f t="shared" ca="1" si="0"/>
        <v>Other</v>
      </c>
      <c r="C32" t="str">
        <f ca="1">IF(B32 = "Male", r_fname_m(), IF(B32 = "Female", r_fname_f(), r_choice($N$1:$N$10)))&amp; " " &amp; r_lname()</f>
        <v>Ali Webber</v>
      </c>
      <c r="D32" t="str">
        <f ca="1">r_integer(0,300)&amp; " " &amp; r_lname()&amp; " "&amp; r_choice($O$1:$O$6)</f>
        <v>119 Wilkins Place</v>
      </c>
      <c r="E32" t="str">
        <f t="shared" ca="1" si="1"/>
        <v>WEST</v>
      </c>
      <c r="F32" t="str">
        <f t="shared" ca="1" si="3"/>
        <v>HIGH</v>
      </c>
      <c r="G32" s="1"/>
      <c r="H32" t="str">
        <f t="shared" ca="1" si="2"/>
        <v>YES</v>
      </c>
      <c r="M32" t="str">
        <f t="shared" ca="1" si="4"/>
        <v>insert into Customers values ('cust-020', 'Male', 'Dewitt Lecter', '273 Cates Lane', 'WEST', 'MED', null, 'NO');</v>
      </c>
    </row>
    <row r="33" spans="1:13" x14ac:dyDescent="0.25">
      <c r="A33" s="1" t="s">
        <v>4621</v>
      </c>
      <c r="B33" s="1" t="str">
        <f t="shared" ca="1" si="0"/>
        <v>Other</v>
      </c>
      <c r="C33" t="str">
        <f ca="1">IF(B33 = "Male", r_fname_m(), IF(B33 = "Female", r_fname_f(), r_choice($N$1:$N$10)))&amp; " " &amp; r_lname()</f>
        <v>Novella Uribe</v>
      </c>
      <c r="D33" t="str">
        <f ca="1">r_integer(0,300)&amp; " " &amp; r_lname()&amp; " "&amp; r_choice($O$1:$O$6)</f>
        <v>226 Becker Square</v>
      </c>
      <c r="E33" t="str">
        <f t="shared" ca="1" si="1"/>
        <v>NORTH</v>
      </c>
      <c r="F33" t="str">
        <f t="shared" ca="1" si="3"/>
        <v>MED</v>
      </c>
      <c r="G33" s="1" t="s">
        <v>4581</v>
      </c>
      <c r="H33" t="str">
        <f t="shared" ca="1" si="2"/>
        <v>YES</v>
      </c>
      <c r="M33" t="str">
        <f t="shared" ca="1" si="4"/>
        <v>insert into Customers values ('cust-021', 'Male', 'Miles Leonards', '166 Velez Street', 'WEST', 'MED', null, 'YES');</v>
      </c>
    </row>
    <row r="34" spans="1:13" x14ac:dyDescent="0.25">
      <c r="A34" s="1" t="s">
        <v>4622</v>
      </c>
      <c r="B34" s="1" t="str">
        <f t="shared" ca="1" si="0"/>
        <v>Other</v>
      </c>
      <c r="C34" t="str">
        <f ca="1">IF(B34 = "Male", r_fname_m(), IF(B34 = "Female", r_fname_f(), r_choice($N$1:$N$10)))&amp; " " &amp; r_lname()</f>
        <v>Basil Wolfe</v>
      </c>
      <c r="D34" t="str">
        <f ca="1">r_integer(0,300)&amp; " " &amp; r_lname()&amp; " "&amp; r_choice($O$1:$O$6)</f>
        <v>289 Opel Street</v>
      </c>
      <c r="E34" t="str">
        <f t="shared" ca="1" si="1"/>
        <v>SOUTH</v>
      </c>
      <c r="F34" t="str">
        <f t="shared" ca="1" si="3"/>
        <v>VIP</v>
      </c>
      <c r="G34" s="1" t="s">
        <v>4588</v>
      </c>
      <c r="H34" t="str">
        <f t="shared" ca="1" si="2"/>
        <v>YES</v>
      </c>
      <c r="M34" t="str">
        <f t="shared" ca="1" si="4"/>
        <v>insert into Customers values ('cust-022', 'Male', 'Hollis Pelletier', '4 Knox Avenue', 'SOUTH', 'LOW', null, 'YES');</v>
      </c>
    </row>
    <row r="35" spans="1:13" x14ac:dyDescent="0.25">
      <c r="A35" s="1" t="s">
        <v>4623</v>
      </c>
      <c r="B35" s="1" t="str">
        <f t="shared" ca="1" si="0"/>
        <v>Female</v>
      </c>
      <c r="C35" t="str">
        <f ca="1">IF(B35 = "Male", r_fname_m(), IF(B35 = "Female", r_fname_f(), r_choice($N$1:$N$10)))&amp; " " &amp; r_lname()</f>
        <v>Mina Swan</v>
      </c>
      <c r="D35" t="str">
        <f ca="1">r_integer(0,300)&amp; " " &amp; r_lname()&amp; " "&amp; r_choice($O$1:$O$6)</f>
        <v>44 Kishel Park</v>
      </c>
      <c r="E35" t="str">
        <f t="shared" ca="1" si="1"/>
        <v>EAST</v>
      </c>
      <c r="F35" t="str">
        <f t="shared" ca="1" si="3"/>
        <v>VIP</v>
      </c>
      <c r="G35" s="1"/>
      <c r="H35" t="str">
        <f t="shared" ca="1" si="2"/>
        <v>NO</v>
      </c>
      <c r="M35" t="str">
        <f t="shared" ca="1" si="4"/>
        <v>insert into Customers values ('cust-023', 'Other', 'Novella Roth', '154 Estes Park', 'NORTH', 'HIGH', 'crd_080', 'YES');</v>
      </c>
    </row>
    <row r="36" spans="1:13" x14ac:dyDescent="0.25">
      <c r="A36" s="1" t="s">
        <v>4624</v>
      </c>
      <c r="B36" s="1" t="str">
        <f t="shared" ca="1" si="0"/>
        <v>Other</v>
      </c>
      <c r="C36" t="str">
        <f ca="1">IF(B36 = "Male", r_fname_m(), IF(B36 = "Female", r_fname_f(), r_choice($N$1:$N$10)))&amp; " " &amp; r_lname()</f>
        <v>Ali Coker</v>
      </c>
      <c r="D36" t="str">
        <f ca="1">r_integer(0,300)&amp; " " &amp; r_lname()&amp; " "&amp; r_choice($O$1:$O$6)</f>
        <v>10 Magellan Square</v>
      </c>
      <c r="E36" t="str">
        <f t="shared" ca="1" si="1"/>
        <v>WEST</v>
      </c>
      <c r="F36" t="str">
        <f t="shared" ca="1" si="3"/>
        <v>HIGH</v>
      </c>
      <c r="G36" s="1"/>
      <c r="H36" t="str">
        <f t="shared" ca="1" si="2"/>
        <v>YES</v>
      </c>
      <c r="M36" t="str">
        <f t="shared" ca="1" si="4"/>
        <v>insert into Customers values ('cust-024', 'Male', 'Shelby Dobbs', '100 Albright Park', 'NORTH', 'VIP', null, 'NO');</v>
      </c>
    </row>
    <row r="37" spans="1:13" x14ac:dyDescent="0.25">
      <c r="A37" s="1" t="s">
        <v>4625</v>
      </c>
      <c r="B37" s="1" t="str">
        <f t="shared" ca="1" si="0"/>
        <v>Male</v>
      </c>
      <c r="C37" t="str">
        <f ca="1">IF(B37 = "Male", r_fname_m(), IF(B37 = "Female", r_fname_f(), r_choice($N$1:$N$10)))&amp; " " &amp; r_lname()</f>
        <v>Rolando Corona</v>
      </c>
      <c r="D37" t="str">
        <f ca="1">r_integer(0,300)&amp; " " &amp; r_lname()&amp; " "&amp; r_choice($O$1:$O$6)</f>
        <v>190 Horton Street</v>
      </c>
      <c r="E37" t="str">
        <f t="shared" ca="1" si="1"/>
        <v>SOUTH</v>
      </c>
      <c r="F37" t="str">
        <f t="shared" ca="1" si="3"/>
        <v>LOW</v>
      </c>
      <c r="G37" s="1"/>
      <c r="H37" t="str">
        <f t="shared" ca="1" si="2"/>
        <v>YES</v>
      </c>
      <c r="M37" t="str">
        <f t="shared" ca="1" si="4"/>
        <v>insert into Customers values ('cust-025', 'Other', 'Ardis Hickman', '124 Callahan Park', 'SOUTH', 'LOW', null, 'NO');</v>
      </c>
    </row>
    <row r="38" spans="1:13" x14ac:dyDescent="0.25">
      <c r="A38" s="1" t="s">
        <v>4626</v>
      </c>
      <c r="B38" s="1" t="str">
        <f t="shared" ca="1" si="0"/>
        <v>Other</v>
      </c>
      <c r="C38" t="str">
        <f ca="1">IF(B38 = "Male", r_fname_m(), IF(B38 = "Female", r_fname_f(), r_choice($N$1:$N$10)))&amp; " " &amp; r_lname()</f>
        <v>Ardis Pagan</v>
      </c>
      <c r="D38" t="str">
        <f ca="1">r_integer(0,300)&amp; " " &amp; r_lname()&amp; " "&amp; r_choice($O$1:$O$6)</f>
        <v>26 Donkel Avenue</v>
      </c>
      <c r="E38" t="str">
        <f t="shared" ca="1" si="1"/>
        <v>EAST</v>
      </c>
      <c r="F38" t="str">
        <f t="shared" ca="1" si="3"/>
        <v>MED</v>
      </c>
      <c r="G38" s="1" t="s">
        <v>4553</v>
      </c>
      <c r="H38" t="str">
        <f t="shared" ca="1" si="2"/>
        <v>NO</v>
      </c>
      <c r="M38" t="str">
        <f t="shared" ca="1" si="4"/>
        <v>insert into Customers values ('cust-026', 'Other', 'Rosaura Ventura', '29 Straut Lane', 'EAST', 'MED', null, 'NO');</v>
      </c>
    </row>
    <row r="39" spans="1:13" x14ac:dyDescent="0.25">
      <c r="A39" s="1" t="s">
        <v>4627</v>
      </c>
      <c r="B39" s="1" t="str">
        <f t="shared" ca="1" si="0"/>
        <v>Other</v>
      </c>
      <c r="C39" t="str">
        <f ca="1">IF(B39 = "Male", r_fname_m(), IF(B39 = "Female", r_fname_f(), r_choice($N$1:$N$10)))&amp; " " &amp; r_lname()</f>
        <v>Rosaura Kenney</v>
      </c>
      <c r="D39" t="str">
        <f ca="1">r_integer(0,300)&amp; " " &amp; r_lname()&amp; " "&amp; r_choice($O$1:$O$6)</f>
        <v>209 Grand Place</v>
      </c>
      <c r="E39" t="str">
        <f t="shared" ca="1" si="1"/>
        <v>SOUTH</v>
      </c>
      <c r="F39" t="str">
        <f t="shared" ca="1" si="3"/>
        <v>MED</v>
      </c>
      <c r="G39" s="1"/>
      <c r="H39" t="str">
        <f t="shared" ca="1" si="2"/>
        <v>YES</v>
      </c>
      <c r="M39" t="str">
        <f t="shared" ca="1" si="4"/>
        <v>insert into Customers values ('cust-027', 'Female', 'Olympia Melvin', '97 Cole Avenue', 'SOUTH', 'MED', null, 'YES');</v>
      </c>
    </row>
    <row r="40" spans="1:13" x14ac:dyDescent="0.25">
      <c r="A40" s="1" t="s">
        <v>4628</v>
      </c>
      <c r="B40" s="1" t="str">
        <f t="shared" ca="1" si="0"/>
        <v>Male</v>
      </c>
      <c r="C40" t="str">
        <f ca="1">IF(B40 = "Male", r_fname_m(), IF(B40 = "Female", r_fname_f(), r_choice($N$1:$N$10)))&amp; " " &amp; r_lname()</f>
        <v>Clifford Stanford</v>
      </c>
      <c r="D40" t="str">
        <f ca="1">r_integer(0,300)&amp; " " &amp; r_lname()&amp; " "&amp; r_choice($O$1:$O$6)</f>
        <v>78 Jacobs Lane</v>
      </c>
      <c r="E40" t="str">
        <f t="shared" ca="1" si="1"/>
        <v>EAST</v>
      </c>
      <c r="F40" t="str">
        <f t="shared" ca="1" si="3"/>
        <v>LOW</v>
      </c>
      <c r="G40" s="1"/>
      <c r="H40" t="str">
        <f t="shared" ca="1" si="2"/>
        <v>YES</v>
      </c>
      <c r="M40" t="str">
        <f t="shared" ca="1" si="4"/>
        <v>insert into Customers values ('cust-028', 'Other', 'Delma Gomes', '286 Flood Avenue', 'NORTH', 'HIGH', null, 'NO');</v>
      </c>
    </row>
    <row r="41" spans="1:13" x14ac:dyDescent="0.25">
      <c r="A41" s="1" t="s">
        <v>4629</v>
      </c>
      <c r="B41" s="1" t="str">
        <f t="shared" ca="1" si="0"/>
        <v>Other</v>
      </c>
      <c r="C41" t="str">
        <f ca="1">IF(B41 = "Male", r_fname_m(), IF(B41 = "Female", r_fname_f(), r_choice($N$1:$N$10)))&amp; " " &amp; r_lname()</f>
        <v>Novella Simons</v>
      </c>
      <c r="D41" t="str">
        <f ca="1">r_integer(0,300)&amp; " " &amp; r_lname()&amp; " "&amp; r_choice($O$1:$O$6)</f>
        <v>183 Chappell Lane</v>
      </c>
      <c r="E41" t="str">
        <f t="shared" ca="1" si="1"/>
        <v>WEST</v>
      </c>
      <c r="F41" t="str">
        <f t="shared" ca="1" si="3"/>
        <v>MED</v>
      </c>
      <c r="G41" s="1" t="s">
        <v>4937</v>
      </c>
      <c r="H41" t="str">
        <f t="shared" ca="1" si="2"/>
        <v>YES</v>
      </c>
      <c r="M41" t="str">
        <f t="shared" ca="1" si="4"/>
        <v>insert into Customers values ('cust-029', 'Female', 'Margaret Waddell', '74 Felix Avenue', 'CENTRAL', 'MED', 'crd_019', 'NO');</v>
      </c>
    </row>
    <row r="42" spans="1:13" x14ac:dyDescent="0.25">
      <c r="A42" s="1" t="s">
        <v>4630</v>
      </c>
      <c r="B42" s="1" t="str">
        <f t="shared" ca="1" si="0"/>
        <v>Male</v>
      </c>
      <c r="C42" t="str">
        <f ca="1">IF(B42 = "Male", r_fname_m(), IF(B42 = "Female", r_fname_f(), r_choice($N$1:$N$10)))&amp; " " &amp; r_lname()</f>
        <v>Darnell Hightower</v>
      </c>
      <c r="D42" t="str">
        <f ca="1">r_integer(0,300)&amp; " " &amp; r_lname()&amp; " "&amp; r_choice($O$1:$O$6)</f>
        <v>111 Ware Park</v>
      </c>
      <c r="E42" t="str">
        <f t="shared" ca="1" si="1"/>
        <v>WEST</v>
      </c>
      <c r="F42" t="str">
        <f t="shared" ca="1" si="3"/>
        <v>MED</v>
      </c>
      <c r="G42" s="1" t="s">
        <v>4557</v>
      </c>
      <c r="H42" t="str">
        <f t="shared" ca="1" si="2"/>
        <v>NO</v>
      </c>
      <c r="M42" t="str">
        <f t="shared" ca="1" si="4"/>
        <v>insert into Customers values ('cust-030', 'Male', 'Elisha Dudley', '232 Mathers Lane', 'SOUTH', 'VIP', null, 'YES');</v>
      </c>
    </row>
    <row r="43" spans="1:13" x14ac:dyDescent="0.25">
      <c r="A43" s="1" t="s">
        <v>4631</v>
      </c>
      <c r="B43" s="1" t="str">
        <f t="shared" ca="1" si="0"/>
        <v>Male</v>
      </c>
      <c r="C43" t="str">
        <f ca="1">IF(B43 = "Male", r_fname_m(), IF(B43 = "Female", r_fname_f(), r_choice($N$1:$N$10)))&amp; " " &amp; r_lname()</f>
        <v>Orlando Henry</v>
      </c>
      <c r="D43" t="str">
        <f ca="1">r_integer(0,300)&amp; " " &amp; r_lname()&amp; " "&amp; r_choice($O$1:$O$6)</f>
        <v>202 Rossini Park</v>
      </c>
      <c r="E43" t="str">
        <f t="shared" ca="1" si="1"/>
        <v>WEST</v>
      </c>
      <c r="F43" t="str">
        <f t="shared" ca="1" si="3"/>
        <v>MED</v>
      </c>
      <c r="G43" s="1" t="s">
        <v>4928</v>
      </c>
      <c r="H43" t="str">
        <f t="shared" ca="1" si="2"/>
        <v>NO</v>
      </c>
      <c r="M43" t="str">
        <f t="shared" ca="1" si="4"/>
        <v>insert into Customers values ('cust-031', 'Other', 'Ali Webber', '119 Wilkins Place', 'WEST', 'HIGH', null, 'YES');</v>
      </c>
    </row>
    <row r="44" spans="1:13" x14ac:dyDescent="0.25">
      <c r="A44" s="1" t="s">
        <v>4632</v>
      </c>
      <c r="B44" s="1" t="str">
        <f t="shared" ca="1" si="0"/>
        <v>Other</v>
      </c>
      <c r="C44" t="str">
        <f ca="1">IF(B44 = "Male", r_fname_m(), IF(B44 = "Female", r_fname_f(), r_choice($N$1:$N$10)))&amp; " " &amp; r_lname()</f>
        <v>Douglas Dover</v>
      </c>
      <c r="D44" t="str">
        <f ca="1">r_integer(0,300)&amp; " " &amp; r_lname()&amp; " "&amp; r_choice($O$1:$O$6)</f>
        <v>232 Murdock Square</v>
      </c>
      <c r="E44" t="str">
        <f t="shared" ca="1" si="1"/>
        <v>WEST</v>
      </c>
      <c r="F44" t="str">
        <f t="shared" ca="1" si="3"/>
        <v>MED</v>
      </c>
      <c r="G44" s="1"/>
      <c r="H44" t="str">
        <f t="shared" ca="1" si="2"/>
        <v>NO</v>
      </c>
      <c r="M44" t="str">
        <f t="shared" ca="1" si="4"/>
        <v>insert into Customers values ('cust-032', 'Other', 'Novella Uribe', '226 Becker Square', 'NORTH', 'MED', 'crd_041', 'YES');</v>
      </c>
    </row>
    <row r="45" spans="1:13" x14ac:dyDescent="0.25">
      <c r="A45" s="1" t="s">
        <v>4633</v>
      </c>
      <c r="B45" s="1" t="str">
        <f t="shared" ca="1" si="0"/>
        <v>Female</v>
      </c>
      <c r="C45" t="str">
        <f ca="1">IF(B45 = "Male", r_fname_m(), IF(B45 = "Female", r_fname_f(), r_choice($N$1:$N$10)))&amp; " " &amp; r_lname()</f>
        <v>Jacinta Noble</v>
      </c>
      <c r="D45" t="str">
        <f ca="1">r_integer(0,300)&amp; " " &amp; r_lname()&amp; " "&amp; r_choice($O$1:$O$6)</f>
        <v>42 Crouch Square</v>
      </c>
      <c r="E45" t="str">
        <f t="shared" ca="1" si="1"/>
        <v>EAST</v>
      </c>
      <c r="F45" t="str">
        <f t="shared" ca="1" si="3"/>
        <v>HIGH</v>
      </c>
      <c r="G45" s="1" t="s">
        <v>4572</v>
      </c>
      <c r="H45" t="str">
        <f t="shared" ca="1" si="2"/>
        <v>YES</v>
      </c>
      <c r="M45" t="str">
        <f t="shared" ca="1" si="4"/>
        <v>insert into Customers values ('cust-033', 'Other', 'Basil Wolfe', '289 Opel Street', 'SOUTH', 'VIP', 'crd_048', 'YES');</v>
      </c>
    </row>
    <row r="46" spans="1:13" x14ac:dyDescent="0.25">
      <c r="A46" s="1" t="s">
        <v>4634</v>
      </c>
      <c r="B46" s="1" t="str">
        <f t="shared" ca="1" si="0"/>
        <v>Female</v>
      </c>
      <c r="C46" t="str">
        <f ca="1">IF(B46 = "Male", r_fname_m(), IF(B46 = "Female", r_fname_f(), r_choice($N$1:$N$10)))&amp; " " &amp; r_lname()</f>
        <v>Joni Sanderson</v>
      </c>
      <c r="D46" t="str">
        <f ca="1">r_integer(0,300)&amp; " " &amp; r_lname()&amp; " "&amp; r_choice($O$1:$O$6)</f>
        <v>221 Vang Lane</v>
      </c>
      <c r="E46" t="str">
        <f t="shared" ca="1" si="1"/>
        <v>CENTRAL</v>
      </c>
      <c r="F46" t="str">
        <f t="shared" ca="1" si="3"/>
        <v>HIGH</v>
      </c>
      <c r="G46" s="1"/>
      <c r="H46" t="str">
        <f t="shared" ca="1" si="2"/>
        <v>YES</v>
      </c>
      <c r="M46" t="str">
        <f t="shared" ca="1" si="4"/>
        <v>insert into Customers values ('cust-034', 'Female', 'Mina Swan', '44 Kishel Park', 'EAST', 'VIP', null, 'NO');</v>
      </c>
    </row>
    <row r="47" spans="1:13" x14ac:dyDescent="0.25">
      <c r="A47" s="1" t="s">
        <v>4635</v>
      </c>
      <c r="B47" s="1" t="str">
        <f t="shared" ca="1" si="0"/>
        <v>Other</v>
      </c>
      <c r="C47" t="str">
        <f ca="1">IF(B47 = "Male", r_fname_m(), IF(B47 = "Female", r_fname_f(), r_choice($N$1:$N$10)))&amp; " " &amp; r_lname()</f>
        <v>Else Velazquez</v>
      </c>
      <c r="D47" t="str">
        <f ca="1">r_integer(0,300)&amp; " " &amp; r_lname()&amp; " "&amp; r_choice($O$1:$O$6)</f>
        <v>108 Terry Park</v>
      </c>
      <c r="E47" t="str">
        <f t="shared" ca="1" si="1"/>
        <v>CENTRAL</v>
      </c>
      <c r="F47" t="str">
        <f t="shared" ca="1" si="3"/>
        <v>LOW</v>
      </c>
      <c r="G47" s="1"/>
      <c r="H47" t="str">
        <f t="shared" ca="1" si="2"/>
        <v>YES</v>
      </c>
      <c r="M47" t="str">
        <f t="shared" ca="1" si="4"/>
        <v>insert into Customers values ('cust-035', 'Other', 'Ali Coker', '10 Magellan Square', 'WEST', 'HIGH', null, 'YES');</v>
      </c>
    </row>
    <row r="48" spans="1:13" x14ac:dyDescent="0.25">
      <c r="A48" s="1" t="s">
        <v>4636</v>
      </c>
      <c r="B48" s="1" t="str">
        <f t="shared" ca="1" si="0"/>
        <v>Female</v>
      </c>
      <c r="C48" t="str">
        <f ca="1">IF(B48 = "Male", r_fname_m(), IF(B48 = "Female", r_fname_f(), r_choice($N$1:$N$10)))&amp; " " &amp; r_lname()</f>
        <v>Alexandria Grant</v>
      </c>
      <c r="D48" t="str">
        <f ca="1">r_integer(0,300)&amp; " " &amp; r_lname()&amp; " "&amp; r_choice($O$1:$O$6)</f>
        <v>164 Dempsey Park</v>
      </c>
      <c r="E48" t="str">
        <f t="shared" ca="1" si="1"/>
        <v>WEST</v>
      </c>
      <c r="F48" t="str">
        <f t="shared" ca="1" si="3"/>
        <v>LOW</v>
      </c>
      <c r="G48" s="1" t="s">
        <v>4948</v>
      </c>
      <c r="H48" t="str">
        <f t="shared" ca="1" si="2"/>
        <v>YES</v>
      </c>
      <c r="M48" t="str">
        <f t="shared" ca="1" si="4"/>
        <v>insert into Customers values ('cust-036', 'Male', 'Rolando Corona', '190 Horton Street', 'SOUTH', 'LOW', null, 'YES');</v>
      </c>
    </row>
    <row r="49" spans="1:13" x14ac:dyDescent="0.25">
      <c r="A49" s="1" t="s">
        <v>4637</v>
      </c>
      <c r="B49" s="1" t="str">
        <f t="shared" ca="1" si="0"/>
        <v>Female</v>
      </c>
      <c r="C49" t="str">
        <f ca="1">IF(B49 = "Male", r_fname_m(), IF(B49 = "Female", r_fname_f(), r_choice($N$1:$N$10)))&amp; " " &amp; r_lname()</f>
        <v>Taunya Hoover</v>
      </c>
      <c r="D49" t="str">
        <f ca="1">r_integer(0,300)&amp; " " &amp; r_lname()&amp; " "&amp; r_choice($O$1:$O$6)</f>
        <v>78 Baker Avenue</v>
      </c>
      <c r="E49" t="str">
        <f t="shared" ca="1" si="1"/>
        <v>WEST</v>
      </c>
      <c r="F49" t="str">
        <f t="shared" ca="1" si="3"/>
        <v>LOW</v>
      </c>
      <c r="G49" s="1" t="s">
        <v>4969</v>
      </c>
      <c r="H49" t="str">
        <f t="shared" ca="1" si="2"/>
        <v>YES</v>
      </c>
      <c r="M49" t="str">
        <f t="shared" ca="1" si="4"/>
        <v>insert into Customers values ('cust-037', 'Other', 'Ardis Pagan', '26 Donkel Avenue', 'EAST', 'MED', 'crd_013', 'NO');</v>
      </c>
    </row>
    <row r="50" spans="1:13" x14ac:dyDescent="0.25">
      <c r="A50" s="1" t="s">
        <v>4638</v>
      </c>
      <c r="B50" s="1" t="str">
        <f t="shared" ca="1" si="0"/>
        <v>Male</v>
      </c>
      <c r="C50" t="str">
        <f ca="1">IF(B50 = "Male", r_fname_m(), IF(B50 = "Female", r_fname_f(), r_choice($N$1:$N$10)))&amp; " " &amp; r_lname()</f>
        <v>Rudolph Pollock</v>
      </c>
      <c r="D50" t="str">
        <f ca="1">r_integer(0,300)&amp; " " &amp; r_lname()&amp; " "&amp; r_choice($O$1:$O$6)</f>
        <v>192 Stabler Lane</v>
      </c>
      <c r="E50" t="str">
        <f t="shared" ca="1" si="1"/>
        <v>CENTRAL</v>
      </c>
      <c r="F50" t="str">
        <f t="shared" ca="1" si="3"/>
        <v>LOW</v>
      </c>
      <c r="G50" s="1" t="s">
        <v>4546</v>
      </c>
      <c r="H50" t="str">
        <f t="shared" ca="1" si="2"/>
        <v>YES</v>
      </c>
      <c r="M50" t="str">
        <f t="shared" ca="1" si="4"/>
        <v>insert into Customers values ('cust-038', 'Other', 'Rosaura Kenney', '209 Grand Place', 'SOUTH', 'MED', null, 'YES');</v>
      </c>
    </row>
    <row r="51" spans="1:13" x14ac:dyDescent="0.25">
      <c r="A51" s="1" t="s">
        <v>4639</v>
      </c>
      <c r="B51" s="1" t="str">
        <f t="shared" ca="1" si="0"/>
        <v>Female</v>
      </c>
      <c r="C51" t="str">
        <f ca="1">IF(B51 = "Male", r_fname_m(), IF(B51 = "Female", r_fname_f(), r_choice($N$1:$N$10)))&amp; " " &amp; r_lname()</f>
        <v>Cathrine Ziegler</v>
      </c>
      <c r="D51" t="str">
        <f ca="1">r_integer(0,300)&amp; " " &amp; r_lname()&amp; " "&amp; r_choice($O$1:$O$6)</f>
        <v>90 Coleman Lane</v>
      </c>
      <c r="E51" t="str">
        <f t="shared" ca="1" si="1"/>
        <v>NORTH</v>
      </c>
      <c r="F51" t="str">
        <f t="shared" ca="1" si="3"/>
        <v>LOW</v>
      </c>
      <c r="G51" s="1"/>
      <c r="H51" t="str">
        <f t="shared" ca="1" si="2"/>
        <v>NO</v>
      </c>
      <c r="M51" t="str">
        <f t="shared" ca="1" si="4"/>
        <v>insert into Customers values ('cust-039', 'Male', 'Clifford Stanford', '78 Jacobs Lane', 'EAST', 'LOW', null, 'YES');</v>
      </c>
    </row>
    <row r="52" spans="1:13" x14ac:dyDescent="0.25">
      <c r="A52" s="1" t="s">
        <v>4640</v>
      </c>
      <c r="B52" s="1" t="str">
        <f t="shared" ca="1" si="0"/>
        <v>Female</v>
      </c>
      <c r="C52" t="str">
        <f ca="1">IF(B52 = "Male", r_fname_m(), IF(B52 = "Female", r_fname_f(), r_choice($N$1:$N$10)))&amp; " " &amp; r_lname()</f>
        <v>Jayna Patrick</v>
      </c>
      <c r="D52" t="str">
        <f ca="1">r_integer(0,300)&amp; " " &amp; r_lname()&amp; " "&amp; r_choice($O$1:$O$6)</f>
        <v>54 Barrera Avenue</v>
      </c>
      <c r="E52" t="str">
        <f t="shared" ca="1" si="1"/>
        <v>CENTRAL</v>
      </c>
      <c r="F52" t="str">
        <f t="shared" ca="1" si="3"/>
        <v>HIGH</v>
      </c>
      <c r="G52" s="1"/>
      <c r="H52" t="str">
        <f t="shared" ca="1" si="2"/>
        <v>NO</v>
      </c>
      <c r="M52" t="str">
        <f t="shared" ca="1" si="4"/>
        <v>insert into Customers values ('cust-040', 'Other', 'Novella Simons', '183 Chappell Lane', 'WEST', 'MED', 'crd_065', 'YES');</v>
      </c>
    </row>
    <row r="53" spans="1:13" x14ac:dyDescent="0.25">
      <c r="A53" s="1" t="s">
        <v>4641</v>
      </c>
      <c r="B53" s="1" t="str">
        <f t="shared" ca="1" si="0"/>
        <v>Other</v>
      </c>
      <c r="C53" t="str">
        <f ca="1">IF(B53 = "Male", r_fname_m(), IF(B53 = "Female", r_fname_f(), r_choice($N$1:$N$10)))&amp; " " &amp; r_lname()</f>
        <v>Delma Barr</v>
      </c>
      <c r="D53" t="str">
        <f ca="1">r_integer(0,300)&amp; " " &amp; r_lname()&amp; " "&amp; r_choice($O$1:$O$6)</f>
        <v>135 Vela Avenue</v>
      </c>
      <c r="E53" t="str">
        <f t="shared" ca="1" si="1"/>
        <v>EAST</v>
      </c>
      <c r="F53" t="str">
        <f t="shared" ca="1" si="3"/>
        <v>MED</v>
      </c>
      <c r="G53" s="1"/>
      <c r="H53" t="str">
        <f t="shared" ca="1" si="2"/>
        <v>YES</v>
      </c>
      <c r="M53" t="str">
        <f t="shared" ca="1" si="4"/>
        <v>insert into Customers values ('cust-041', 'Male', 'Darnell Hightower', '111 Ware Park', 'WEST', 'MED', 'crd_017', 'NO');</v>
      </c>
    </row>
    <row r="54" spans="1:13" x14ac:dyDescent="0.25">
      <c r="A54" s="1" t="s">
        <v>4642</v>
      </c>
      <c r="B54" s="1" t="str">
        <f t="shared" ca="1" si="0"/>
        <v>Female</v>
      </c>
      <c r="C54" t="str">
        <f ca="1">IF(B54 = "Male", r_fname_m(), IF(B54 = "Female", r_fname_f(), r_choice($N$1:$N$10)))&amp; " " &amp; r_lname()</f>
        <v>Neomi Flood</v>
      </c>
      <c r="D54" t="str">
        <f ca="1">r_integer(0,300)&amp; " " &amp; r_lname()&amp; " "&amp; r_choice($O$1:$O$6)</f>
        <v>9 Belcher Avenue</v>
      </c>
      <c r="E54" t="str">
        <f t="shared" ca="1" si="1"/>
        <v>NORTH</v>
      </c>
      <c r="F54" t="str">
        <f t="shared" ca="1" si="3"/>
        <v>LOW</v>
      </c>
      <c r="G54" s="1"/>
      <c r="H54" t="str">
        <f t="shared" ca="1" si="2"/>
        <v>YES</v>
      </c>
      <c r="M54" t="str">
        <f t="shared" ca="1" si="4"/>
        <v>insert into Customers values ('cust-042', 'Male', 'Orlando Henry', '202 Rossini Park', 'WEST', 'MED', 'crd_056', 'NO');</v>
      </c>
    </row>
    <row r="55" spans="1:13" x14ac:dyDescent="0.25">
      <c r="A55" s="1" t="s">
        <v>4643</v>
      </c>
      <c r="B55" s="1" t="str">
        <f t="shared" ca="1" si="0"/>
        <v>Female</v>
      </c>
      <c r="C55" t="str">
        <f ca="1">IF(B55 = "Male", r_fname_m(), IF(B55 = "Female", r_fname_f(), r_choice($N$1:$N$10)))&amp; " " &amp; r_lname()</f>
        <v>Ossie Fitch</v>
      </c>
      <c r="D55" t="str">
        <f ca="1">r_integer(0,300)&amp; " " &amp; r_lname()&amp; " "&amp; r_choice($O$1:$O$6)</f>
        <v>261 Chan Square</v>
      </c>
      <c r="E55" t="str">
        <f t="shared" ca="1" si="1"/>
        <v>WEST</v>
      </c>
      <c r="F55" t="str">
        <f t="shared" ca="1" si="3"/>
        <v>MED</v>
      </c>
      <c r="G55" s="1" t="s">
        <v>4968</v>
      </c>
      <c r="H55" t="str">
        <f t="shared" ca="1" si="2"/>
        <v>NO</v>
      </c>
      <c r="M55" t="str">
        <f t="shared" ca="1" si="4"/>
        <v>insert into Customers values ('cust-043', 'Other', 'Douglas Dover', '232 Murdock Square', 'WEST', 'MED', null, 'NO');</v>
      </c>
    </row>
    <row r="56" spans="1:13" x14ac:dyDescent="0.25">
      <c r="A56" s="1" t="s">
        <v>4644</v>
      </c>
      <c r="B56" s="1" t="str">
        <f t="shared" ca="1" si="0"/>
        <v>Male</v>
      </c>
      <c r="C56" t="str">
        <f ca="1">IF(B56 = "Male", r_fname_m(), IF(B56 = "Female", r_fname_f(), r_choice($N$1:$N$10)))&amp; " " &amp; r_lname()</f>
        <v>Nicholas Crane</v>
      </c>
      <c r="D56" t="str">
        <f ca="1">r_integer(0,300)&amp; " " &amp; r_lname()&amp; " "&amp; r_choice($O$1:$O$6)</f>
        <v>138 Wallace Avenue</v>
      </c>
      <c r="E56" t="str">
        <f t="shared" ca="1" si="1"/>
        <v>WEST</v>
      </c>
      <c r="F56" t="str">
        <f t="shared" ca="1" si="3"/>
        <v>LOW</v>
      </c>
      <c r="G56" s="1"/>
      <c r="H56" t="str">
        <f t="shared" ca="1" si="2"/>
        <v>YES</v>
      </c>
      <c r="M56" t="str">
        <f t="shared" ca="1" si="4"/>
        <v>insert into Customers values ('cust-044', 'Female', 'Jacinta Noble', '42 Crouch Square', 'EAST', 'HIGH', 'crd_032', 'YES');</v>
      </c>
    </row>
    <row r="57" spans="1:13" x14ac:dyDescent="0.25">
      <c r="A57" s="1" t="s">
        <v>4645</v>
      </c>
      <c r="B57" s="1" t="str">
        <f t="shared" ca="1" si="0"/>
        <v>Female</v>
      </c>
      <c r="C57" t="str">
        <f ca="1">IF(B57 = "Male", r_fname_m(), IF(B57 = "Female", r_fname_f(), r_choice($N$1:$N$10)))&amp; " " &amp; r_lname()</f>
        <v>Armida Hurt</v>
      </c>
      <c r="D57" t="str">
        <f ca="1">r_integer(0,300)&amp; " " &amp; r_lname()&amp; " "&amp; r_choice($O$1:$O$6)</f>
        <v>267 Travis Avenue</v>
      </c>
      <c r="E57" t="str">
        <f t="shared" ca="1" si="1"/>
        <v>NORTH</v>
      </c>
      <c r="F57" t="str">
        <f t="shared" ca="1" si="3"/>
        <v>MED</v>
      </c>
      <c r="G57" s="1"/>
      <c r="H57" t="str">
        <f t="shared" ca="1" si="2"/>
        <v>YES</v>
      </c>
      <c r="M57" t="str">
        <f t="shared" ca="1" si="4"/>
        <v>insert into Customers values ('cust-045', 'Female', 'Joni Sanderson', '221 Vang Lane', 'CENTRAL', 'HIGH', null, 'YES');</v>
      </c>
    </row>
    <row r="58" spans="1:13" x14ac:dyDescent="0.25">
      <c r="A58" s="1" t="s">
        <v>4646</v>
      </c>
      <c r="B58" s="1" t="str">
        <f t="shared" ca="1" si="0"/>
        <v>Other</v>
      </c>
      <c r="C58" t="str">
        <f ca="1">IF(B58 = "Male", r_fname_m(), IF(B58 = "Female", r_fname_f(), r_choice($N$1:$N$10)))&amp; " " &amp; r_lname()</f>
        <v>Jaimito Cassidy</v>
      </c>
      <c r="D58" t="str">
        <f ca="1">r_integer(0,300)&amp; " " &amp; r_lname()&amp; " "&amp; r_choice($O$1:$O$6)</f>
        <v>16 Ullman Place</v>
      </c>
      <c r="E58" t="str">
        <f t="shared" ca="1" si="1"/>
        <v>EAST</v>
      </c>
      <c r="F58" t="str">
        <f t="shared" ca="1" si="3"/>
        <v>LOW</v>
      </c>
      <c r="G58" s="1"/>
      <c r="H58" t="str">
        <f t="shared" ca="1" si="2"/>
        <v>NO</v>
      </c>
      <c r="M58" t="str">
        <f t="shared" ca="1" si="4"/>
        <v>insert into Customers values ('cust-046', 'Other', 'Else Velazquez', '108 Terry Park', 'CENTRAL', 'LOW', null, 'YES');</v>
      </c>
    </row>
    <row r="59" spans="1:13" x14ac:dyDescent="0.25">
      <c r="A59" s="1" t="s">
        <v>4647</v>
      </c>
      <c r="B59" s="1" t="str">
        <f t="shared" ca="1" si="0"/>
        <v>Female</v>
      </c>
      <c r="C59" t="str">
        <f ca="1">IF(B59 = "Male", r_fname_m(), IF(B59 = "Female", r_fname_f(), r_choice($N$1:$N$10)))&amp; " " &amp; r_lname()</f>
        <v>Kristyn Massey</v>
      </c>
      <c r="D59" t="str">
        <f ca="1">r_integer(0,300)&amp; " " &amp; r_lname()&amp; " "&amp; r_choice($O$1:$O$6)</f>
        <v>161 Garrison Avenue</v>
      </c>
      <c r="E59" t="str">
        <f t="shared" ca="1" si="1"/>
        <v>NORTH</v>
      </c>
      <c r="F59" t="str">
        <f t="shared" ca="1" si="3"/>
        <v>LOW</v>
      </c>
      <c r="G59" s="1"/>
      <c r="H59" t="str">
        <f t="shared" ca="1" si="2"/>
        <v>NO</v>
      </c>
      <c r="M59" t="str">
        <f t="shared" ca="1" si="4"/>
        <v>insert into Customers values ('cust-047', 'Female', 'Alexandria Grant', '164 Dempsey Park', 'WEST', 'LOW', 'crd_076', 'YES');</v>
      </c>
    </row>
    <row r="60" spans="1:13" x14ac:dyDescent="0.25">
      <c r="A60" s="1" t="s">
        <v>4648</v>
      </c>
      <c r="B60" s="1" t="str">
        <f t="shared" ca="1" si="0"/>
        <v>Female</v>
      </c>
      <c r="C60" t="str">
        <f ca="1">IF(B60 = "Male", r_fname_m(), IF(B60 = "Female", r_fname_f(), r_choice($N$1:$N$10)))&amp; " " &amp; r_lname()</f>
        <v>Leticia Day</v>
      </c>
      <c r="D60" t="str">
        <f ca="1">r_integer(0,300)&amp; " " &amp; r_lname()&amp; " "&amp; r_choice($O$1:$O$6)</f>
        <v>143 Kirchener Lane</v>
      </c>
      <c r="E60" t="str">
        <f t="shared" ca="1" si="1"/>
        <v>WEST</v>
      </c>
      <c r="F60" t="str">
        <f t="shared" ca="1" si="3"/>
        <v>MED</v>
      </c>
      <c r="G60" s="1" t="s">
        <v>4567</v>
      </c>
      <c r="H60" t="str">
        <f t="shared" ca="1" si="2"/>
        <v>YES</v>
      </c>
      <c r="M60" t="str">
        <f t="shared" ca="1" si="4"/>
        <v>insert into Customers values ('cust-048', 'Female', 'Taunya Hoover', '78 Baker Avenue', 'WEST', 'LOW', 'crd_097', 'YES');</v>
      </c>
    </row>
    <row r="61" spans="1:13" x14ac:dyDescent="0.25">
      <c r="A61" s="1" t="s">
        <v>4649</v>
      </c>
      <c r="B61" s="1" t="str">
        <f t="shared" ca="1" si="0"/>
        <v>Other</v>
      </c>
      <c r="C61" t="str">
        <f ca="1">IF(B61 = "Male", r_fname_m(), IF(B61 = "Female", r_fname_f(), r_choice($N$1:$N$10)))&amp; " " &amp; r_lname()</f>
        <v>Olive Deleon</v>
      </c>
      <c r="D61" t="str">
        <f ca="1">r_integer(0,300)&amp; " " &amp; r_lname()&amp; " "&amp; r_choice($O$1:$O$6)</f>
        <v>273 Peterson Place</v>
      </c>
      <c r="E61" t="str">
        <f t="shared" ca="1" si="1"/>
        <v>SOUTH</v>
      </c>
      <c r="F61" t="str">
        <f t="shared" ca="1" si="3"/>
        <v>HIGH</v>
      </c>
      <c r="G61" s="1" t="s">
        <v>4927</v>
      </c>
      <c r="H61" t="str">
        <f t="shared" ca="1" si="2"/>
        <v>YES</v>
      </c>
      <c r="M61" t="str">
        <f t="shared" ca="1" si="4"/>
        <v>insert into Customers values ('cust-049', 'Male', 'Rudolph Pollock', '192 Stabler Lane', 'CENTRAL', 'LOW', 'crd_006', 'YES');</v>
      </c>
    </row>
    <row r="62" spans="1:13" x14ac:dyDescent="0.25">
      <c r="A62" s="1" t="s">
        <v>4650</v>
      </c>
      <c r="B62" s="1" t="str">
        <f t="shared" ca="1" si="0"/>
        <v>Other</v>
      </c>
      <c r="C62" t="str">
        <f ca="1">IF(B62 = "Male", r_fname_m(), IF(B62 = "Female", r_fname_f(), r_choice($N$1:$N$10)))&amp; " " &amp; r_lname()</f>
        <v>Olive Paulano</v>
      </c>
      <c r="D62" t="str">
        <f ca="1">r_integer(0,300)&amp; " " &amp; r_lname()&amp; " "&amp; r_choice($O$1:$O$6)</f>
        <v>118 Mancini Lane</v>
      </c>
      <c r="E62" t="str">
        <f t="shared" ca="1" si="1"/>
        <v>CENTRAL</v>
      </c>
      <c r="F62" t="str">
        <f t="shared" ca="1" si="3"/>
        <v>VIP</v>
      </c>
      <c r="G62" s="1"/>
      <c r="H62" t="str">
        <f t="shared" ca="1" si="2"/>
        <v>NO</v>
      </c>
      <c r="M62" t="str">
        <f t="shared" ca="1" si="4"/>
        <v>insert into Customers values ('cust-050', 'Female', 'Cathrine Ziegler', '90 Coleman Lane', 'NORTH', 'LOW', null, 'NO');</v>
      </c>
    </row>
    <row r="63" spans="1:13" x14ac:dyDescent="0.25">
      <c r="A63" s="1" t="s">
        <v>4651</v>
      </c>
      <c r="B63" s="1" t="str">
        <f t="shared" ca="1" si="0"/>
        <v>Female</v>
      </c>
      <c r="C63" t="str">
        <f ca="1">IF(B63 = "Male", r_fname_m(), IF(B63 = "Female", r_fname_f(), r_choice($N$1:$N$10)))&amp; " " &amp; r_lname()</f>
        <v>Beverley Lau</v>
      </c>
      <c r="D63" t="str">
        <f ca="1">r_integer(0,300)&amp; " " &amp; r_lname()&amp; " "&amp; r_choice($O$1:$O$6)</f>
        <v>10 Guillen Park</v>
      </c>
      <c r="E63" t="str">
        <f t="shared" ca="1" si="1"/>
        <v>WEST</v>
      </c>
      <c r="F63" t="str">
        <f t="shared" ca="1" si="3"/>
        <v>LOW</v>
      </c>
      <c r="G63" s="1"/>
      <c r="H63" t="str">
        <f t="shared" ca="1" si="2"/>
        <v>NO</v>
      </c>
      <c r="M63" t="str">
        <f t="shared" ca="1" si="4"/>
        <v>insert into Customers values ('cust-051', 'Female', 'Jayna Patrick', '54 Barrera Avenue', 'CENTRAL', 'HIGH', null, 'NO');</v>
      </c>
    </row>
    <row r="64" spans="1:13" x14ac:dyDescent="0.25">
      <c r="A64" s="1" t="s">
        <v>4652</v>
      </c>
      <c r="B64" s="1" t="str">
        <f t="shared" ca="1" si="0"/>
        <v>Male</v>
      </c>
      <c r="C64" t="str">
        <f ca="1">IF(B64 = "Male", r_fname_m(), IF(B64 = "Female", r_fname_f(), r_choice($N$1:$N$10)))&amp; " " &amp; r_lname()</f>
        <v>Leigh Day</v>
      </c>
      <c r="D64" t="str">
        <f ca="1">r_integer(0,300)&amp; " " &amp; r_lname()&amp; " "&amp; r_choice($O$1:$O$6)</f>
        <v>273 Charles Place</v>
      </c>
      <c r="E64" t="str">
        <f t="shared" ca="1" si="1"/>
        <v>CENTRAL</v>
      </c>
      <c r="F64" t="str">
        <f t="shared" ca="1" si="3"/>
        <v>MED</v>
      </c>
      <c r="G64" s="1" t="s">
        <v>4582</v>
      </c>
      <c r="H64" t="str">
        <f t="shared" ca="1" si="2"/>
        <v>NO</v>
      </c>
      <c r="M64" t="str">
        <f t="shared" ca="1" si="4"/>
        <v>insert into Customers values ('cust-052', 'Other', 'Delma Barr', '135 Vela Avenue', 'EAST', 'MED', null, 'YES');</v>
      </c>
    </row>
    <row r="65" spans="1:13" x14ac:dyDescent="0.25">
      <c r="A65" s="1" t="s">
        <v>4653</v>
      </c>
      <c r="B65" s="1" t="str">
        <f t="shared" ca="1" si="0"/>
        <v>Female</v>
      </c>
      <c r="C65" t="str">
        <f ca="1">IF(B65 = "Male", r_fname_m(), IF(B65 = "Female", r_fname_f(), r_choice($N$1:$N$10)))&amp; " " &amp; r_lname()</f>
        <v>Mariel Doyle</v>
      </c>
      <c r="D65" t="str">
        <f ca="1">r_integer(0,300)&amp; " " &amp; r_lname()&amp; " "&amp; r_choice($O$1:$O$6)</f>
        <v>136 Wang Park</v>
      </c>
      <c r="E65" t="str">
        <f t="shared" ca="1" si="1"/>
        <v>SOUTH</v>
      </c>
      <c r="F65" t="str">
        <f t="shared" ca="1" si="3"/>
        <v>MED</v>
      </c>
      <c r="G65" s="1" t="s">
        <v>4576</v>
      </c>
      <c r="H65" t="str">
        <f t="shared" ca="1" si="2"/>
        <v>YES</v>
      </c>
      <c r="M65" t="str">
        <f t="shared" ca="1" si="4"/>
        <v>insert into Customers values ('cust-053', 'Female', 'Neomi Flood', '9 Belcher Avenue', 'NORTH', 'LOW', null, 'YES');</v>
      </c>
    </row>
    <row r="66" spans="1:13" x14ac:dyDescent="0.25">
      <c r="A66" s="1" t="s">
        <v>4654</v>
      </c>
      <c r="B66" s="1" t="str">
        <f t="shared" ref="B66:B129" ca="1" si="5">r_choice($M$1:$M$3)</f>
        <v>Male</v>
      </c>
      <c r="C66" t="str">
        <f ca="1">IF(B66 = "Male", r_fname_m(), IF(B66 = "Female", r_fname_f(), r_choice($N$1:$N$10)))&amp; " " &amp; r_lname()</f>
        <v>Paul Diaz</v>
      </c>
      <c r="D66" t="str">
        <f ca="1">r_integer(0,300)&amp; " " &amp; r_lname()&amp; " "&amp; r_choice($O$1:$O$6)</f>
        <v>6 Dickens Place</v>
      </c>
      <c r="E66" t="str">
        <f t="shared" ref="E66:E129" ca="1" si="6">r_choice($P$1:$P$5)</f>
        <v>SOUTH</v>
      </c>
      <c r="F66" t="str">
        <f t="shared" ca="1" si="3"/>
        <v>HIGH</v>
      </c>
      <c r="G66" s="1"/>
      <c r="H66" t="str">
        <f t="shared" ref="H66:H129" ca="1" si="7">r_choice($M$5:$M$6)</f>
        <v>NO</v>
      </c>
      <c r="M66" t="str">
        <f t="shared" ca="1" si="4"/>
        <v>insert into Customers values ('cust-054', 'Female', 'Ossie Fitch', '261 Chan Square', 'WEST', 'MED', 'crd_096', 'NO');</v>
      </c>
    </row>
    <row r="67" spans="1:13" x14ac:dyDescent="0.25">
      <c r="A67" s="1" t="s">
        <v>4655</v>
      </c>
      <c r="B67" s="1" t="str">
        <f t="shared" ca="1" si="5"/>
        <v>Male</v>
      </c>
      <c r="C67" t="str">
        <f ca="1">IF(B67 = "Male", r_fname_m(), IF(B67 = "Female", r_fname_f(), r_choice($N$1:$N$10)))&amp; " " &amp; r_lname()</f>
        <v>Justin Billington</v>
      </c>
      <c r="D67" t="str">
        <f ca="1">r_integer(0,300)&amp; " " &amp; r_lname()&amp; " "&amp; r_choice($O$1:$O$6)</f>
        <v>281 Ball Street</v>
      </c>
      <c r="E67" t="str">
        <f t="shared" ca="1" si="6"/>
        <v>SOUTH</v>
      </c>
      <c r="F67" t="str">
        <f t="shared" ref="F67:F130" ca="1" si="8">r_choice($Q$1:$Q$4)</f>
        <v>LOW</v>
      </c>
      <c r="G67" s="1"/>
      <c r="H67" t="str">
        <f t="shared" ca="1" si="7"/>
        <v>NO</v>
      </c>
      <c r="M67" t="str">
        <f t="shared" ca="1" si="4"/>
        <v>insert into Customers values ('cust-055', 'Male', 'Nicholas Crane', '138 Wallace Avenue', 'WEST', 'LOW', null, 'YES');</v>
      </c>
    </row>
    <row r="68" spans="1:13" x14ac:dyDescent="0.25">
      <c r="A68" s="1" t="s">
        <v>4656</v>
      </c>
      <c r="B68" s="1" t="str">
        <f t="shared" ca="1" si="5"/>
        <v>Female</v>
      </c>
      <c r="C68" t="str">
        <f ca="1">IF(B68 = "Male", r_fname_m(), IF(B68 = "Female", r_fname_f(), r_choice($N$1:$N$10)))&amp; " " &amp; r_lname()</f>
        <v>Carolyn Papas</v>
      </c>
      <c r="D68" t="str">
        <f ca="1">r_integer(0,300)&amp; " " &amp; r_lname()&amp; " "&amp; r_choice($O$1:$O$6)</f>
        <v>107 Dodd Square</v>
      </c>
      <c r="E68" t="str">
        <f t="shared" ca="1" si="6"/>
        <v>CENTRAL</v>
      </c>
      <c r="F68" t="str">
        <f t="shared" ca="1" si="8"/>
        <v>HIGH</v>
      </c>
      <c r="G68" s="1"/>
      <c r="H68" t="str">
        <f t="shared" ca="1" si="7"/>
        <v>NO</v>
      </c>
      <c r="M68" t="str">
        <f t="shared" ca="1" si="4"/>
        <v>insert into Customers values ('cust-056', 'Female', 'Armida Hurt', '267 Travis Avenue', 'NORTH', 'MED', null, 'YES');</v>
      </c>
    </row>
    <row r="69" spans="1:13" x14ac:dyDescent="0.25">
      <c r="A69" s="1" t="s">
        <v>4657</v>
      </c>
      <c r="B69" s="1" t="str">
        <f t="shared" ca="1" si="5"/>
        <v>Male</v>
      </c>
      <c r="C69" t="str">
        <f ca="1">IF(B69 = "Male", r_fname_m(), IF(B69 = "Female", r_fname_f(), r_choice($N$1:$N$10)))&amp; " " &amp; r_lname()</f>
        <v>Genaro Spielberg</v>
      </c>
      <c r="D69" t="str">
        <f ca="1">r_integer(0,300)&amp; " " &amp; r_lname()&amp; " "&amp; r_choice($O$1:$O$6)</f>
        <v>283 Jarrett Place</v>
      </c>
      <c r="E69" t="str">
        <f t="shared" ca="1" si="6"/>
        <v>WEST</v>
      </c>
      <c r="F69" t="str">
        <f t="shared" ca="1" si="8"/>
        <v>LOW</v>
      </c>
      <c r="G69" s="1" t="s">
        <v>4571</v>
      </c>
      <c r="H69" t="str">
        <f t="shared" ca="1" si="7"/>
        <v>YES</v>
      </c>
      <c r="M69" t="str">
        <f t="shared" ca="1" si="4"/>
        <v>insert into Customers values ('cust-057', 'Other', 'Jaimito Cassidy', '16 Ullman Place', 'EAST', 'LOW', null, 'NO');</v>
      </c>
    </row>
    <row r="70" spans="1:13" x14ac:dyDescent="0.25">
      <c r="A70" s="1" t="s">
        <v>4658</v>
      </c>
      <c r="B70" s="1" t="str">
        <f t="shared" ca="1" si="5"/>
        <v>Other</v>
      </c>
      <c r="C70" t="str">
        <f ca="1">IF(B70 = "Male", r_fname_m(), IF(B70 = "Female", r_fname_f(), r_choice($N$1:$N$10)))&amp; " " &amp; r_lname()</f>
        <v>Jaimito Schmitz</v>
      </c>
      <c r="D70" t="str">
        <f ca="1">r_integer(0,300)&amp; " " &amp; r_lname()&amp; " "&amp; r_choice($O$1:$O$6)</f>
        <v>8 Wager Street</v>
      </c>
      <c r="E70" t="str">
        <f t="shared" ca="1" si="6"/>
        <v>NORTH</v>
      </c>
      <c r="F70" t="str">
        <f t="shared" ca="1" si="8"/>
        <v>MED</v>
      </c>
      <c r="G70" s="1"/>
      <c r="H70" t="str">
        <f t="shared" ca="1" si="7"/>
        <v>NO</v>
      </c>
      <c r="M70" t="str">
        <f t="shared" ca="1" si="4"/>
        <v>insert into Customers values ('cust-058', 'Female', 'Kristyn Massey', '161 Garrison Avenue', 'NORTH', 'LOW', null, 'NO');</v>
      </c>
    </row>
    <row r="71" spans="1:13" x14ac:dyDescent="0.25">
      <c r="A71" s="1" t="s">
        <v>4659</v>
      </c>
      <c r="B71" s="1" t="str">
        <f t="shared" ca="1" si="5"/>
        <v>Male</v>
      </c>
      <c r="C71" t="str">
        <f ca="1">IF(B71 = "Male", r_fname_m(), IF(B71 = "Female", r_fname_f(), r_choice($N$1:$N$10)))&amp; " " &amp; r_lname()</f>
        <v>Dean Cubrik</v>
      </c>
      <c r="D71" t="str">
        <f ca="1">r_integer(0,300)&amp; " " &amp; r_lname()&amp; " "&amp; r_choice($O$1:$O$6)</f>
        <v>132 Palacios Square</v>
      </c>
      <c r="E71" t="str">
        <f t="shared" ca="1" si="6"/>
        <v>WEST</v>
      </c>
      <c r="F71" t="str">
        <f t="shared" ca="1" si="8"/>
        <v>MED</v>
      </c>
      <c r="G71" s="1"/>
      <c r="H71" t="str">
        <f t="shared" ca="1" si="7"/>
        <v>YES</v>
      </c>
      <c r="M71" t="str">
        <f t="shared" ca="1" si="4"/>
        <v>insert into Customers values ('cust-059', 'Female', 'Leticia Day', '143 Kirchener Lane', 'WEST', 'MED', 'crd_027', 'YES');</v>
      </c>
    </row>
    <row r="72" spans="1:13" x14ac:dyDescent="0.25">
      <c r="A72" s="1" t="s">
        <v>4660</v>
      </c>
      <c r="B72" s="1" t="str">
        <f t="shared" ca="1" si="5"/>
        <v>Other</v>
      </c>
      <c r="C72" t="str">
        <f ca="1">IF(B72 = "Male", r_fname_m(), IF(B72 = "Female", r_fname_f(), r_choice($N$1:$N$10)))&amp; " " &amp; r_lname()</f>
        <v>Novella Bond</v>
      </c>
      <c r="D72" t="str">
        <f ca="1">r_integer(0,300)&amp; " " &amp; r_lname()&amp; " "&amp; r_choice($O$1:$O$6)</f>
        <v>121 Hanson Avenue</v>
      </c>
      <c r="E72" t="str">
        <f t="shared" ca="1" si="6"/>
        <v>NORTH</v>
      </c>
      <c r="F72" t="str">
        <f t="shared" ca="1" si="8"/>
        <v>LOW</v>
      </c>
      <c r="G72" s="1" t="s">
        <v>4543</v>
      </c>
      <c r="H72" t="str">
        <f t="shared" ca="1" si="7"/>
        <v>NO</v>
      </c>
      <c r="M72" t="str">
        <f t="shared" ca="1" si="4"/>
        <v>insert into Customers values ('cust-060', 'Other', 'Olive Deleon', '273 Peterson Place', 'SOUTH', 'HIGH', 'crd_055', 'YES');</v>
      </c>
    </row>
    <row r="73" spans="1:13" x14ac:dyDescent="0.25">
      <c r="A73" s="1" t="s">
        <v>4661</v>
      </c>
      <c r="B73" s="1" t="str">
        <f t="shared" ca="1" si="5"/>
        <v>Male</v>
      </c>
      <c r="C73" t="str">
        <f ca="1">IF(B73 = "Male", r_fname_m(), IF(B73 = "Female", r_fname_f(), r_choice($N$1:$N$10)))&amp; " " &amp; r_lname()</f>
        <v>Johnie Denison</v>
      </c>
      <c r="D73" t="str">
        <f ca="1">r_integer(0,300)&amp; " " &amp; r_lname()&amp; " "&amp; r_choice($O$1:$O$6)</f>
        <v>34 Soto Avenue</v>
      </c>
      <c r="E73" t="str">
        <f t="shared" ca="1" si="6"/>
        <v>NORTH</v>
      </c>
      <c r="F73" t="str">
        <f t="shared" ca="1" si="8"/>
        <v>MED</v>
      </c>
      <c r="G73" s="1"/>
      <c r="H73" t="str">
        <f t="shared" ca="1" si="7"/>
        <v>YES</v>
      </c>
      <c r="M73" t="str">
        <f t="shared" ca="1" si="4"/>
        <v>insert into Customers values ('cust-061', 'Other', 'Olive Paulano', '118 Mancini Lane', 'CENTRAL', 'VIP', null, 'NO');</v>
      </c>
    </row>
    <row r="74" spans="1:13" x14ac:dyDescent="0.25">
      <c r="A74" s="1" t="s">
        <v>4662</v>
      </c>
      <c r="B74" s="1" t="str">
        <f t="shared" ca="1" si="5"/>
        <v>Female</v>
      </c>
      <c r="C74" t="str">
        <f ca="1">IF(B74 = "Male", r_fname_m(), IF(B74 = "Female", r_fname_f(), r_choice($N$1:$N$10)))&amp; " " &amp; r_lname()</f>
        <v>Mirka Burnes</v>
      </c>
      <c r="D74" t="str">
        <f ca="1">r_integer(0,300)&amp; " " &amp; r_lname()&amp; " "&amp; r_choice($O$1:$O$6)</f>
        <v>72 Bautista Place</v>
      </c>
      <c r="E74" t="str">
        <f t="shared" ca="1" si="6"/>
        <v>WEST</v>
      </c>
      <c r="F74" t="str">
        <f t="shared" ca="1" si="8"/>
        <v>VIP</v>
      </c>
      <c r="G74" s="1"/>
      <c r="H74" t="str">
        <f t="shared" ca="1" si="7"/>
        <v>NO</v>
      </c>
      <c r="M74" t="str">
        <f t="shared" ca="1" si="4"/>
        <v>insert into Customers values ('cust-062', 'Female', 'Beverley Lau', '10 Guillen Park', 'WEST', 'LOW', null, 'NO');</v>
      </c>
    </row>
    <row r="75" spans="1:13" x14ac:dyDescent="0.25">
      <c r="A75" s="1" t="s">
        <v>4663</v>
      </c>
      <c r="B75" s="1" t="str">
        <f t="shared" ca="1" si="5"/>
        <v>Male</v>
      </c>
      <c r="C75" t="str">
        <f ca="1">IF(B75 = "Male", r_fname_m(), IF(B75 = "Female", r_fname_f(), r_choice($N$1:$N$10)))&amp; " " &amp; r_lname()</f>
        <v>Menander Standhal</v>
      </c>
      <c r="D75" t="str">
        <f ca="1">r_integer(0,300)&amp; " " &amp; r_lname()&amp; " "&amp; r_choice($O$1:$O$6)</f>
        <v>183 Foley Lane</v>
      </c>
      <c r="E75" t="str">
        <f t="shared" ca="1" si="6"/>
        <v>CENTRAL</v>
      </c>
      <c r="F75" t="str">
        <f t="shared" ca="1" si="8"/>
        <v>MED</v>
      </c>
      <c r="G75" s="1" t="s">
        <v>4584</v>
      </c>
      <c r="H75" t="str">
        <f t="shared" ca="1" si="7"/>
        <v>NO</v>
      </c>
      <c r="M75" t="str">
        <f t="shared" ca="1" si="4"/>
        <v>insert into Customers values ('cust-063', 'Male', 'Leigh Day', '273 Charles Place', 'CENTRAL', 'MED', 'crd_042', 'NO');</v>
      </c>
    </row>
    <row r="76" spans="1:13" x14ac:dyDescent="0.25">
      <c r="A76" s="1" t="s">
        <v>4664</v>
      </c>
      <c r="B76" s="1" t="str">
        <f t="shared" ca="1" si="5"/>
        <v>Other</v>
      </c>
      <c r="C76" t="str">
        <f ca="1">IF(B76 = "Male", r_fname_m(), IF(B76 = "Female", r_fname_f(), r_choice($N$1:$N$10)))&amp; " " &amp; r_lname()</f>
        <v>Ali Mcghee</v>
      </c>
      <c r="D76" t="str">
        <f ca="1">r_integer(0,300)&amp; " " &amp; r_lname()&amp; " "&amp; r_choice($O$1:$O$6)</f>
        <v>188 Curran Avenue</v>
      </c>
      <c r="E76" t="str">
        <f t="shared" ca="1" si="6"/>
        <v>WEST</v>
      </c>
      <c r="F76" t="str">
        <f t="shared" ca="1" si="8"/>
        <v>HIGH</v>
      </c>
      <c r="G76" s="1"/>
      <c r="H76" t="str">
        <f t="shared" ca="1" si="7"/>
        <v>YES</v>
      </c>
      <c r="M76" t="str">
        <f t="shared" ca="1" si="4"/>
        <v>insert into Customers values ('cust-064', 'Female', 'Mariel Doyle', '136 Wang Park', 'SOUTH', 'MED', 'crd_036', 'YES');</v>
      </c>
    </row>
    <row r="77" spans="1:13" x14ac:dyDescent="0.25">
      <c r="A77" s="1" t="s">
        <v>4665</v>
      </c>
      <c r="B77" s="1" t="str">
        <f t="shared" ca="1" si="5"/>
        <v>Other</v>
      </c>
      <c r="C77" t="str">
        <f ca="1">IF(B77 = "Male", r_fname_m(), IF(B77 = "Female", r_fname_f(), r_choice($N$1:$N$10)))&amp; " " &amp; r_lname()</f>
        <v>Douglas Kendall</v>
      </c>
      <c r="D77" t="str">
        <f ca="1">r_integer(0,300)&amp; " " &amp; r_lname()&amp; " "&amp; r_choice($O$1:$O$6)</f>
        <v>297 Carson Avenue</v>
      </c>
      <c r="E77" t="str">
        <f t="shared" ca="1" si="6"/>
        <v>CENTRAL</v>
      </c>
      <c r="F77" t="str">
        <f t="shared" ca="1" si="8"/>
        <v>MED</v>
      </c>
      <c r="G77" s="1"/>
      <c r="H77" t="str">
        <f t="shared" ca="1" si="7"/>
        <v>YES</v>
      </c>
      <c r="M77" t="str">
        <f t="shared" ref="M77:M140" ca="1" si="9">insertinto(A66:H66,$S$1:$T$8,"Customers")</f>
        <v>insert into Customers values ('cust-065', 'Male', 'Paul Diaz', '6 Dickens Place', 'SOUTH', 'HIGH', null, 'NO');</v>
      </c>
    </row>
    <row r="78" spans="1:13" x14ac:dyDescent="0.25">
      <c r="A78" s="1" t="s">
        <v>4666</v>
      </c>
      <c r="B78" s="1" t="str">
        <f t="shared" ca="1" si="5"/>
        <v>Male</v>
      </c>
      <c r="C78" t="str">
        <f ca="1">IF(B78 = "Male", r_fname_m(), IF(B78 = "Female", r_fname_f(), r_choice($N$1:$N$10)))&amp; " " &amp; r_lname()</f>
        <v>Stanford Walters</v>
      </c>
      <c r="D78" t="str">
        <f ca="1">r_integer(0,300)&amp; " " &amp; r_lname()&amp; " "&amp; r_choice($O$1:$O$6)</f>
        <v>82 Rainey Park</v>
      </c>
      <c r="E78" t="str">
        <f t="shared" ca="1" si="6"/>
        <v>WEST</v>
      </c>
      <c r="F78" t="str">
        <f t="shared" ca="1" si="8"/>
        <v>VIP</v>
      </c>
      <c r="G78" s="1"/>
      <c r="H78" t="str">
        <f t="shared" ca="1" si="7"/>
        <v>NO</v>
      </c>
      <c r="M78" t="str">
        <f t="shared" ca="1" si="9"/>
        <v>insert into Customers values ('cust-066', 'Male', 'Justin Billington', '281 Ball Street', 'SOUTH', 'LOW', null, 'NO');</v>
      </c>
    </row>
    <row r="79" spans="1:13" x14ac:dyDescent="0.25">
      <c r="A79" s="1" t="s">
        <v>4667</v>
      </c>
      <c r="B79" s="1" t="str">
        <f t="shared" ca="1" si="5"/>
        <v>Female</v>
      </c>
      <c r="C79" t="str">
        <f ca="1">IF(B79 = "Male", r_fname_m(), IF(B79 = "Female", r_fname_f(), r_choice($N$1:$N$10)))&amp; " " &amp; r_lname()</f>
        <v>Adelia Burnett</v>
      </c>
      <c r="D79" t="str">
        <f ca="1">r_integer(0,300)&amp; " " &amp; r_lname()&amp; " "&amp; r_choice($O$1:$O$6)</f>
        <v>207 Santiago Avenue</v>
      </c>
      <c r="E79" t="str">
        <f t="shared" ca="1" si="6"/>
        <v>NORTH</v>
      </c>
      <c r="F79" t="str">
        <f t="shared" ca="1" si="8"/>
        <v>HIGH</v>
      </c>
      <c r="G79" s="1"/>
      <c r="H79" t="str">
        <f t="shared" ca="1" si="7"/>
        <v>NO</v>
      </c>
      <c r="M79" t="str">
        <f t="shared" ca="1" si="9"/>
        <v>insert into Customers values ('cust-067', 'Female', 'Carolyn Papas', '107 Dodd Square', 'CENTRAL', 'HIGH', null, 'NO');</v>
      </c>
    </row>
    <row r="80" spans="1:13" x14ac:dyDescent="0.25">
      <c r="A80" s="1" t="s">
        <v>4668</v>
      </c>
      <c r="B80" s="1" t="str">
        <f t="shared" ca="1" si="5"/>
        <v>Male</v>
      </c>
      <c r="C80" t="str">
        <f ca="1">IF(B80 = "Male", r_fname_m(), IF(B80 = "Female", r_fname_f(), r_choice($N$1:$N$10)))&amp; " " &amp; r_lname()</f>
        <v>Tommy England</v>
      </c>
      <c r="D80" t="str">
        <f ca="1">r_integer(0,300)&amp; " " &amp; r_lname()&amp; " "&amp; r_choice($O$1:$O$6)</f>
        <v>175 Melendez Place</v>
      </c>
      <c r="E80" t="str">
        <f t="shared" ca="1" si="6"/>
        <v>SOUTH</v>
      </c>
      <c r="F80" t="str">
        <f t="shared" ca="1" si="8"/>
        <v>LOW</v>
      </c>
      <c r="G80" s="1"/>
      <c r="H80" t="str">
        <f t="shared" ca="1" si="7"/>
        <v>YES</v>
      </c>
      <c r="M80" t="str">
        <f t="shared" ca="1" si="9"/>
        <v>insert into Customers values ('cust-068', 'Male', 'Genaro Spielberg', '283 Jarrett Place', 'WEST', 'LOW', 'crd_031', 'YES');</v>
      </c>
    </row>
    <row r="81" spans="1:13" x14ac:dyDescent="0.25">
      <c r="A81" s="1" t="s">
        <v>4669</v>
      </c>
      <c r="B81" s="1" t="str">
        <f t="shared" ca="1" si="5"/>
        <v>Female</v>
      </c>
      <c r="C81" t="str">
        <f ca="1">IF(B81 = "Male", r_fname_m(), IF(B81 = "Female", r_fname_f(), r_choice($N$1:$N$10)))&amp; " " &amp; r_lname()</f>
        <v>Adeline Costa</v>
      </c>
      <c r="D81" t="str">
        <f ca="1">r_integer(0,300)&amp; " " &amp; r_lname()&amp; " "&amp; r_choice($O$1:$O$6)</f>
        <v>176 Olson Square</v>
      </c>
      <c r="E81" t="str">
        <f t="shared" ca="1" si="6"/>
        <v>WEST</v>
      </c>
      <c r="F81" t="str">
        <f t="shared" ca="1" si="8"/>
        <v>VIP</v>
      </c>
      <c r="G81" s="1"/>
      <c r="H81" t="str">
        <f t="shared" ca="1" si="7"/>
        <v>YES</v>
      </c>
      <c r="M81" t="str">
        <f t="shared" ca="1" si="9"/>
        <v>insert into Customers values ('cust-069', 'Other', 'Jaimito Schmitz', '8 Wager Street', 'NORTH', 'MED', null, 'NO');</v>
      </c>
    </row>
    <row r="82" spans="1:13" x14ac:dyDescent="0.25">
      <c r="A82" s="1" t="s">
        <v>4670</v>
      </c>
      <c r="B82" s="1" t="str">
        <f t="shared" ca="1" si="5"/>
        <v>Male</v>
      </c>
      <c r="C82" t="str">
        <f ca="1">IF(B82 = "Male", r_fname_m(), IF(B82 = "Female", r_fname_f(), r_choice($N$1:$N$10)))&amp; " " &amp; r_lname()</f>
        <v>Clayton Griggs</v>
      </c>
      <c r="D82" t="str">
        <f ca="1">r_integer(0,300)&amp; " " &amp; r_lname()&amp; " "&amp; r_choice($O$1:$O$6)</f>
        <v>36 Grant Lane</v>
      </c>
      <c r="E82" t="str">
        <f t="shared" ca="1" si="6"/>
        <v>EAST</v>
      </c>
      <c r="F82" t="str">
        <f t="shared" ca="1" si="8"/>
        <v>LOW</v>
      </c>
      <c r="G82" s="1"/>
      <c r="H82" t="str">
        <f t="shared" ca="1" si="7"/>
        <v>NO</v>
      </c>
      <c r="M82" t="str">
        <f t="shared" ca="1" si="9"/>
        <v>insert into Customers values ('cust-070', 'Male', 'Dean Cubrik', '132 Palacios Square', 'WEST', 'MED', null, 'YES');</v>
      </c>
    </row>
    <row r="83" spans="1:13" x14ac:dyDescent="0.25">
      <c r="A83" s="1" t="s">
        <v>4671</v>
      </c>
      <c r="B83" s="1" t="str">
        <f t="shared" ca="1" si="5"/>
        <v>Female</v>
      </c>
      <c r="C83" t="str">
        <f ca="1">IF(B83 = "Male", r_fname_m(), IF(B83 = "Female", r_fname_f(), r_choice($N$1:$N$10)))&amp; " " &amp; r_lname()</f>
        <v>Denae Head</v>
      </c>
      <c r="D83" t="str">
        <f ca="1">r_integer(0,300)&amp; " " &amp; r_lname()&amp; " "&amp; r_choice($O$1:$O$6)</f>
        <v>134 Gustavson Street</v>
      </c>
      <c r="E83" t="str">
        <f t="shared" ca="1" si="6"/>
        <v>SOUTH</v>
      </c>
      <c r="F83" t="str">
        <f t="shared" ca="1" si="8"/>
        <v>HIGH</v>
      </c>
      <c r="G83" s="1" t="s">
        <v>4944</v>
      </c>
      <c r="H83" t="str">
        <f t="shared" ca="1" si="7"/>
        <v>NO</v>
      </c>
      <c r="M83" t="str">
        <f t="shared" ca="1" si="9"/>
        <v>insert into Customers values ('cust-071', 'Other', 'Novella Bond', '121 Hanson Avenue', 'NORTH', 'LOW', 'crd_003', 'NO');</v>
      </c>
    </row>
    <row r="84" spans="1:13" x14ac:dyDescent="0.25">
      <c r="A84" s="1" t="s">
        <v>4672</v>
      </c>
      <c r="B84" s="1" t="str">
        <f t="shared" ca="1" si="5"/>
        <v>Other</v>
      </c>
      <c r="C84" t="str">
        <f ca="1">IF(B84 = "Male", r_fname_m(), IF(B84 = "Female", r_fname_f(), r_choice($N$1:$N$10)))&amp; " " &amp; r_lname()</f>
        <v>Basil Thorne</v>
      </c>
      <c r="D84" t="str">
        <f ca="1">r_integer(0,300)&amp; " " &amp; r_lname()&amp; " "&amp; r_choice($O$1:$O$6)</f>
        <v>237 Hale Lane</v>
      </c>
      <c r="E84" t="str">
        <f t="shared" ca="1" si="6"/>
        <v>EAST</v>
      </c>
      <c r="F84" t="str">
        <f t="shared" ca="1" si="8"/>
        <v>LOW</v>
      </c>
      <c r="G84" s="1" t="s">
        <v>4560</v>
      </c>
      <c r="H84" t="str">
        <f t="shared" ca="1" si="7"/>
        <v>NO</v>
      </c>
      <c r="M84" t="str">
        <f t="shared" ca="1" si="9"/>
        <v>insert into Customers values ('cust-072', 'Male', 'Johnie Denison', '34 Soto Avenue', 'NORTH', 'MED', null, 'YES');</v>
      </c>
    </row>
    <row r="85" spans="1:13" x14ac:dyDescent="0.25">
      <c r="A85" s="1" t="s">
        <v>4673</v>
      </c>
      <c r="B85" s="1" t="str">
        <f t="shared" ca="1" si="5"/>
        <v>Other</v>
      </c>
      <c r="C85" t="str">
        <f ca="1">IF(B85 = "Male", r_fname_m(), IF(B85 = "Female", r_fname_f(), r_choice($N$1:$N$10)))&amp; " " &amp; r_lname()</f>
        <v>Rosaura Epps</v>
      </c>
      <c r="D85" t="str">
        <f ca="1">r_integer(0,300)&amp; " " &amp; r_lname()&amp; " "&amp; r_choice($O$1:$O$6)</f>
        <v>156 Bergeron Avenue</v>
      </c>
      <c r="E85" t="str">
        <f t="shared" ca="1" si="6"/>
        <v>EAST</v>
      </c>
      <c r="F85" t="str">
        <f t="shared" ca="1" si="8"/>
        <v>HIGH</v>
      </c>
      <c r="G85" s="1"/>
      <c r="H85" t="str">
        <f t="shared" ca="1" si="7"/>
        <v>NO</v>
      </c>
      <c r="M85" t="str">
        <f t="shared" ca="1" si="9"/>
        <v>insert into Customers values ('cust-073', 'Female', 'Mirka Burnes', '72 Bautista Place', 'WEST', 'VIP', null, 'NO');</v>
      </c>
    </row>
    <row r="86" spans="1:13" x14ac:dyDescent="0.25">
      <c r="A86" s="1" t="s">
        <v>4674</v>
      </c>
      <c r="B86" s="1" t="str">
        <f t="shared" ca="1" si="5"/>
        <v>Female</v>
      </c>
      <c r="C86" t="str">
        <f ca="1">IF(B86 = "Male", r_fname_m(), IF(B86 = "Female", r_fname_f(), r_choice($N$1:$N$10)))&amp; " " &amp; r_lname()</f>
        <v>Carma Douglas</v>
      </c>
      <c r="D86" t="str">
        <f ca="1">r_integer(0,300)&amp; " " &amp; r_lname()&amp; " "&amp; r_choice($O$1:$O$6)</f>
        <v>248 Sterling Avenue</v>
      </c>
      <c r="E86" t="str">
        <f t="shared" ca="1" si="6"/>
        <v>CENTRAL</v>
      </c>
      <c r="F86" t="str">
        <f t="shared" ca="1" si="8"/>
        <v>VIP</v>
      </c>
      <c r="G86" s="1"/>
      <c r="H86" t="str">
        <f t="shared" ca="1" si="7"/>
        <v>NO</v>
      </c>
      <c r="M86" t="str">
        <f t="shared" ca="1" si="9"/>
        <v>insert into Customers values ('cust-074', 'Male', 'Menander Standhal', '183 Foley Lane', 'CENTRAL', 'MED', 'crd_044', 'NO');</v>
      </c>
    </row>
    <row r="87" spans="1:13" x14ac:dyDescent="0.25">
      <c r="A87" s="1" t="s">
        <v>4675</v>
      </c>
      <c r="B87" s="1" t="str">
        <f t="shared" ca="1" si="5"/>
        <v>Other</v>
      </c>
      <c r="C87" t="str">
        <f ca="1">IF(B87 = "Male", r_fname_m(), IF(B87 = "Female", r_fname_f(), r_choice($N$1:$N$10)))&amp; " " &amp; r_lname()</f>
        <v>Jaimito Newton</v>
      </c>
      <c r="D87" t="str">
        <f ca="1">r_integer(0,300)&amp; " " &amp; r_lname()&amp; " "&amp; r_choice($O$1:$O$6)</f>
        <v>83 Bukovski Lane</v>
      </c>
      <c r="E87" t="str">
        <f t="shared" ca="1" si="6"/>
        <v>NORTH</v>
      </c>
      <c r="F87" t="str">
        <f t="shared" ca="1" si="8"/>
        <v>MED</v>
      </c>
      <c r="G87" s="1"/>
      <c r="H87" t="str">
        <f t="shared" ca="1" si="7"/>
        <v>YES</v>
      </c>
      <c r="M87" t="str">
        <f t="shared" ca="1" si="9"/>
        <v>insert into Customers values ('cust-075', 'Other', 'Ali Mcghee', '188 Curran Avenue', 'WEST', 'HIGH', null, 'YES');</v>
      </c>
    </row>
    <row r="88" spans="1:13" x14ac:dyDescent="0.25">
      <c r="A88" s="1" t="s">
        <v>4676</v>
      </c>
      <c r="B88" s="1" t="str">
        <f t="shared" ca="1" si="5"/>
        <v>Other</v>
      </c>
      <c r="C88" t="str">
        <f ca="1">IF(B88 = "Male", r_fname_m(), IF(B88 = "Female", r_fname_f(), r_choice($N$1:$N$10)))&amp; " " &amp; r_lname()</f>
        <v>Jaimito Rodriquez</v>
      </c>
      <c r="D88" t="str">
        <f ca="1">r_integer(0,300)&amp; " " &amp; r_lname()&amp; " "&amp; r_choice($O$1:$O$6)</f>
        <v>15 Odonnell Lane</v>
      </c>
      <c r="E88" t="str">
        <f t="shared" ca="1" si="6"/>
        <v>WEST</v>
      </c>
      <c r="F88" t="str">
        <f t="shared" ca="1" si="8"/>
        <v>HIGH</v>
      </c>
      <c r="G88" s="1" t="s">
        <v>4580</v>
      </c>
      <c r="H88" t="str">
        <f t="shared" ca="1" si="7"/>
        <v>YES</v>
      </c>
      <c r="M88" t="str">
        <f t="shared" ca="1" si="9"/>
        <v>insert into Customers values ('cust-076', 'Other', 'Douglas Kendall', '297 Carson Avenue', 'CENTRAL', 'MED', null, 'YES');</v>
      </c>
    </row>
    <row r="89" spans="1:13" x14ac:dyDescent="0.25">
      <c r="A89" s="1" t="s">
        <v>4677</v>
      </c>
      <c r="B89" s="1" t="str">
        <f t="shared" ca="1" si="5"/>
        <v>Male</v>
      </c>
      <c r="C89" t="str">
        <f ca="1">IF(B89 = "Male", r_fname_m(), IF(B89 = "Female", r_fname_f(), r_choice($N$1:$N$10)))&amp; " " &amp; r_lname()</f>
        <v>Lee Keller</v>
      </c>
      <c r="D89" t="str">
        <f ca="1">r_integer(0,300)&amp; " " &amp; r_lname()&amp; " "&amp; r_choice($O$1:$O$6)</f>
        <v>53 Engel Square</v>
      </c>
      <c r="E89" t="str">
        <f t="shared" ca="1" si="6"/>
        <v>EAST</v>
      </c>
      <c r="F89" t="str">
        <f t="shared" ca="1" si="8"/>
        <v>VIP</v>
      </c>
      <c r="G89" s="1"/>
      <c r="H89" t="str">
        <f t="shared" ca="1" si="7"/>
        <v>NO</v>
      </c>
      <c r="M89" t="str">
        <f t="shared" ca="1" si="9"/>
        <v>insert into Customers values ('cust-077', 'Male', 'Stanford Walters', '82 Rainey Park', 'WEST', 'VIP', null, 'NO');</v>
      </c>
    </row>
    <row r="90" spans="1:13" x14ac:dyDescent="0.25">
      <c r="A90" s="1" t="s">
        <v>4678</v>
      </c>
      <c r="B90" s="1" t="str">
        <f t="shared" ca="1" si="5"/>
        <v>Other</v>
      </c>
      <c r="C90" t="str">
        <f ca="1">IF(B90 = "Male", r_fname_m(), IF(B90 = "Female", r_fname_f(), r_choice($N$1:$N$10)))&amp; " " &amp; r_lname()</f>
        <v>Ali Richmond</v>
      </c>
      <c r="D90" t="str">
        <f ca="1">r_integer(0,300)&amp; " " &amp; r_lname()&amp; " "&amp; r_choice($O$1:$O$6)</f>
        <v>55 Cummins Lane</v>
      </c>
      <c r="E90" t="str">
        <f t="shared" ca="1" si="6"/>
        <v>NORTH</v>
      </c>
      <c r="F90" t="str">
        <f t="shared" ca="1" si="8"/>
        <v>LOW</v>
      </c>
      <c r="G90" s="1"/>
      <c r="H90" t="str">
        <f t="shared" ca="1" si="7"/>
        <v>YES</v>
      </c>
      <c r="M90" t="str">
        <f t="shared" ca="1" si="9"/>
        <v>insert into Customers values ('cust-078', 'Female', 'Adelia Burnett', '207 Santiago Avenue', 'NORTH', 'HIGH', null, 'NO');</v>
      </c>
    </row>
    <row r="91" spans="1:13" x14ac:dyDescent="0.25">
      <c r="A91" s="1" t="s">
        <v>4679</v>
      </c>
      <c r="B91" s="1" t="str">
        <f t="shared" ca="1" si="5"/>
        <v>Female</v>
      </c>
      <c r="C91" t="str">
        <f ca="1">IF(B91 = "Male", r_fname_m(), IF(B91 = "Female", r_fname_f(), r_choice($N$1:$N$10)))&amp; " " &amp; r_lname()</f>
        <v>Daniela Stinson</v>
      </c>
      <c r="D91" t="str">
        <f ca="1">r_integer(0,300)&amp; " " &amp; r_lname()&amp; " "&amp; r_choice($O$1:$O$6)</f>
        <v>300 Hatcher Street</v>
      </c>
      <c r="E91" t="str">
        <f t="shared" ca="1" si="6"/>
        <v>SOUTH</v>
      </c>
      <c r="F91" t="str">
        <f t="shared" ca="1" si="8"/>
        <v>HIGH</v>
      </c>
      <c r="G91" s="1"/>
      <c r="H91" t="str">
        <f t="shared" ca="1" si="7"/>
        <v>YES</v>
      </c>
      <c r="M91" t="str">
        <f t="shared" ca="1" si="9"/>
        <v>insert into Customers values ('cust-079', 'Male', 'Tommy England', '175 Melendez Place', 'SOUTH', 'LOW', null, 'YES');</v>
      </c>
    </row>
    <row r="92" spans="1:13" x14ac:dyDescent="0.25">
      <c r="A92" s="1" t="s">
        <v>4680</v>
      </c>
      <c r="B92" s="1" t="str">
        <f t="shared" ca="1" si="5"/>
        <v>Female</v>
      </c>
      <c r="C92" t="str">
        <f ca="1">IF(B92 = "Male", r_fname_m(), IF(B92 = "Female", r_fname_f(), r_choice($N$1:$N$10)))&amp; " " &amp; r_lname()</f>
        <v>Kandace Barnard</v>
      </c>
      <c r="D92" t="str">
        <f ca="1">r_integer(0,300)&amp; " " &amp; r_lname()&amp; " "&amp; r_choice($O$1:$O$6)</f>
        <v>257 Mcdermott Park</v>
      </c>
      <c r="E92" t="str">
        <f t="shared" ca="1" si="6"/>
        <v>SOUTH</v>
      </c>
      <c r="F92" t="str">
        <f t="shared" ca="1" si="8"/>
        <v>HIGH</v>
      </c>
      <c r="G92" s="1"/>
      <c r="H92" t="str">
        <f t="shared" ca="1" si="7"/>
        <v>YES</v>
      </c>
      <c r="M92" t="str">
        <f t="shared" ca="1" si="9"/>
        <v>insert into Customers values ('cust-080', 'Female', 'Adeline Costa', '176 Olson Square', 'WEST', 'VIP', null, 'YES');</v>
      </c>
    </row>
    <row r="93" spans="1:13" x14ac:dyDescent="0.25">
      <c r="A93" s="1" t="s">
        <v>4681</v>
      </c>
      <c r="B93" s="1" t="str">
        <f t="shared" ca="1" si="5"/>
        <v>Male</v>
      </c>
      <c r="C93" t="str">
        <f ca="1">IF(B93 = "Male", r_fname_m(), IF(B93 = "Female", r_fname_f(), r_choice($N$1:$N$10)))&amp; " " &amp; r_lname()</f>
        <v>Dusty Lin</v>
      </c>
      <c r="D93" t="str">
        <f ca="1">r_integer(0,300)&amp; " " &amp; r_lname()&amp; " "&amp; r_choice($O$1:$O$6)</f>
        <v>6 Cheng Street</v>
      </c>
      <c r="E93" t="str">
        <f t="shared" ca="1" si="6"/>
        <v>NORTH</v>
      </c>
      <c r="F93" t="str">
        <f t="shared" ca="1" si="8"/>
        <v>VIP</v>
      </c>
      <c r="G93" s="1" t="s">
        <v>4950</v>
      </c>
      <c r="H93" t="str">
        <f t="shared" ca="1" si="7"/>
        <v>YES</v>
      </c>
      <c r="M93" t="str">
        <f t="shared" ca="1" si="9"/>
        <v>insert into Customers values ('cust-081', 'Male', 'Clayton Griggs', '36 Grant Lane', 'EAST', 'LOW', null, 'NO');</v>
      </c>
    </row>
    <row r="94" spans="1:13" x14ac:dyDescent="0.25">
      <c r="A94" s="1" t="s">
        <v>4682</v>
      </c>
      <c r="B94" s="1" t="str">
        <f t="shared" ca="1" si="5"/>
        <v>Male</v>
      </c>
      <c r="C94" t="str">
        <f ca="1">IF(B94 = "Male", r_fname_m(), IF(B94 = "Female", r_fname_f(), r_choice($N$1:$N$10)))&amp; " " &amp; r_lname()</f>
        <v>Arthur Haney</v>
      </c>
      <c r="D94" t="str">
        <f ca="1">r_integer(0,300)&amp; " " &amp; r_lname()&amp; " "&amp; r_choice($O$1:$O$6)</f>
        <v>30 Plummer Lane</v>
      </c>
      <c r="E94" t="str">
        <f t="shared" ca="1" si="6"/>
        <v>WEST</v>
      </c>
      <c r="F94" t="str">
        <f t="shared" ca="1" si="8"/>
        <v>VIP</v>
      </c>
      <c r="G94" s="1"/>
      <c r="H94" t="str">
        <f t="shared" ca="1" si="7"/>
        <v>NO</v>
      </c>
      <c r="M94" t="str">
        <f t="shared" ca="1" si="9"/>
        <v>insert into Customers values ('cust-082', 'Female', 'Denae Head', '134 Gustavson Street', 'SOUTH', 'HIGH', 'crd_072', 'NO');</v>
      </c>
    </row>
    <row r="95" spans="1:13" x14ac:dyDescent="0.25">
      <c r="A95" s="1" t="s">
        <v>4683</v>
      </c>
      <c r="B95" s="1" t="str">
        <f t="shared" ca="1" si="5"/>
        <v>Male</v>
      </c>
      <c r="C95" t="str">
        <f ca="1">IF(B95 = "Male", r_fname_m(), IF(B95 = "Female", r_fname_f(), r_choice($N$1:$N$10)))&amp; " " &amp; r_lname()</f>
        <v>Lesley Burch</v>
      </c>
      <c r="D95" t="str">
        <f ca="1">r_integer(0,300)&amp; " " &amp; r_lname()&amp; " "&amp; r_choice($O$1:$O$6)</f>
        <v>148 Walton Avenue</v>
      </c>
      <c r="E95" t="str">
        <f t="shared" ca="1" si="6"/>
        <v>SOUTH</v>
      </c>
      <c r="F95" t="str">
        <f t="shared" ca="1" si="8"/>
        <v>VIP</v>
      </c>
      <c r="G95" s="1"/>
      <c r="H95" t="str">
        <f t="shared" ca="1" si="7"/>
        <v>YES</v>
      </c>
      <c r="M95" t="str">
        <f t="shared" ca="1" si="9"/>
        <v>insert into Customers values ('cust-083', 'Other', 'Basil Thorne', '237 Hale Lane', 'EAST', 'LOW', 'crd_020', 'NO');</v>
      </c>
    </row>
    <row r="96" spans="1:13" x14ac:dyDescent="0.25">
      <c r="A96" s="1" t="s">
        <v>4684</v>
      </c>
      <c r="B96" s="1" t="str">
        <f t="shared" ca="1" si="5"/>
        <v>Female</v>
      </c>
      <c r="C96" t="str">
        <f ca="1">IF(B96 = "Male", r_fname_m(), IF(B96 = "Female", r_fname_f(), r_choice($N$1:$N$10)))&amp; " " &amp; r_lname()</f>
        <v>Penni Gunn</v>
      </c>
      <c r="D96" t="str">
        <f ca="1">r_integer(0,300)&amp; " " &amp; r_lname()&amp; " "&amp; r_choice($O$1:$O$6)</f>
        <v>74 Leigh Street</v>
      </c>
      <c r="E96" t="str">
        <f t="shared" ca="1" si="6"/>
        <v>SOUTH</v>
      </c>
      <c r="F96" t="str">
        <f t="shared" ca="1" si="8"/>
        <v>LOW</v>
      </c>
      <c r="G96" s="1"/>
      <c r="H96" t="str">
        <f t="shared" ca="1" si="7"/>
        <v>YES</v>
      </c>
      <c r="M96" t="str">
        <f t="shared" ca="1" si="9"/>
        <v>insert into Customers values ('cust-084', 'Other', 'Rosaura Epps', '156 Bergeron Avenue', 'EAST', 'HIGH', null, 'NO');</v>
      </c>
    </row>
    <row r="97" spans="1:13" x14ac:dyDescent="0.25">
      <c r="A97" s="1" t="s">
        <v>4685</v>
      </c>
      <c r="B97" s="1" t="str">
        <f t="shared" ca="1" si="5"/>
        <v>Male</v>
      </c>
      <c r="C97" t="str">
        <f ca="1">IF(B97 = "Male", r_fname_m(), IF(B97 = "Female", r_fname_f(), r_choice($N$1:$N$10)))&amp; " " &amp; r_lname()</f>
        <v>Lazaro Sachs</v>
      </c>
      <c r="D97" t="str">
        <f ca="1">r_integer(0,300)&amp; " " &amp; r_lname()&amp; " "&amp; r_choice($O$1:$O$6)</f>
        <v>154 Holbrook Lane</v>
      </c>
      <c r="E97" t="str">
        <f t="shared" ca="1" si="6"/>
        <v>WEST</v>
      </c>
      <c r="F97" t="str">
        <f t="shared" ca="1" si="8"/>
        <v>HIGH</v>
      </c>
      <c r="G97" s="1"/>
      <c r="H97" t="str">
        <f t="shared" ca="1" si="7"/>
        <v>NO</v>
      </c>
      <c r="M97" t="str">
        <f t="shared" ca="1" si="9"/>
        <v>insert into Customers values ('cust-085', 'Female', 'Carma Douglas', '248 Sterling Avenue', 'CENTRAL', 'VIP', null, 'NO');</v>
      </c>
    </row>
    <row r="98" spans="1:13" x14ac:dyDescent="0.25">
      <c r="A98" s="1" t="s">
        <v>4686</v>
      </c>
      <c r="B98" s="1" t="str">
        <f t="shared" ca="1" si="5"/>
        <v>Female</v>
      </c>
      <c r="C98" t="str">
        <f ca="1">IF(B98 = "Male", r_fname_m(), IF(B98 = "Female", r_fname_f(), r_choice($N$1:$N$10)))&amp; " " &amp; r_lname()</f>
        <v>Trina Conrad</v>
      </c>
      <c r="D98" t="str">
        <f ca="1">r_integer(0,300)&amp; " " &amp; r_lname()&amp; " "&amp; r_choice($O$1:$O$6)</f>
        <v>203 Maher Street</v>
      </c>
      <c r="E98" t="str">
        <f t="shared" ca="1" si="6"/>
        <v>WEST</v>
      </c>
      <c r="F98" t="str">
        <f t="shared" ca="1" si="8"/>
        <v>HIGH</v>
      </c>
      <c r="G98" s="1"/>
      <c r="H98" t="str">
        <f t="shared" ca="1" si="7"/>
        <v>NO</v>
      </c>
      <c r="M98" t="str">
        <f t="shared" ca="1" si="9"/>
        <v>insert into Customers values ('cust-086', 'Other', 'Jaimito Newton', '83 Bukovski Lane', 'NORTH', 'MED', null, 'YES');</v>
      </c>
    </row>
    <row r="99" spans="1:13" x14ac:dyDescent="0.25">
      <c r="A99" s="1" t="s">
        <v>4687</v>
      </c>
      <c r="B99" s="1" t="str">
        <f t="shared" ca="1" si="5"/>
        <v>Other</v>
      </c>
      <c r="C99" t="str">
        <f ca="1">IF(B99 = "Male", r_fname_m(), IF(B99 = "Female", r_fname_f(), r_choice($N$1:$N$10)))&amp; " " &amp; r_lname()</f>
        <v>Olive Wainwright</v>
      </c>
      <c r="D99" t="str">
        <f ca="1">r_integer(0,300)&amp; " " &amp; r_lname()&amp; " "&amp; r_choice($O$1:$O$6)</f>
        <v>107 Bradford Avenue</v>
      </c>
      <c r="E99" t="str">
        <f t="shared" ca="1" si="6"/>
        <v>WEST</v>
      </c>
      <c r="F99" t="str">
        <f t="shared" ca="1" si="8"/>
        <v>LOW</v>
      </c>
      <c r="G99" s="1"/>
      <c r="H99" t="str">
        <f t="shared" ca="1" si="7"/>
        <v>NO</v>
      </c>
      <c r="M99" t="str">
        <f t="shared" ca="1" si="9"/>
        <v>insert into Customers values ('cust-087', 'Other', 'Jaimito Rodriquez', '15 Odonnell Lane', 'WEST', 'HIGH', 'crd_040', 'YES');</v>
      </c>
    </row>
    <row r="100" spans="1:13" x14ac:dyDescent="0.25">
      <c r="A100" s="1" t="s">
        <v>4688</v>
      </c>
      <c r="B100" s="1" t="str">
        <f t="shared" ca="1" si="5"/>
        <v>Male</v>
      </c>
      <c r="C100" t="str">
        <f ca="1">IF(B100 = "Male", r_fname_m(), IF(B100 = "Female", r_fname_f(), r_choice($N$1:$N$10)))&amp; " " &amp; r_lname()</f>
        <v>Nicholas Renteria</v>
      </c>
      <c r="D100" t="str">
        <f ca="1">r_integer(0,300)&amp; " " &amp; r_lname()&amp; " "&amp; r_choice($O$1:$O$6)</f>
        <v>235 Valenzuela Park</v>
      </c>
      <c r="E100" t="str">
        <f t="shared" ca="1" si="6"/>
        <v>SOUTH</v>
      </c>
      <c r="F100" t="str">
        <f t="shared" ca="1" si="8"/>
        <v>LOW</v>
      </c>
      <c r="G100" s="1"/>
      <c r="H100" t="str">
        <f t="shared" ca="1" si="7"/>
        <v>YES</v>
      </c>
      <c r="M100" t="str">
        <f t="shared" ca="1" si="9"/>
        <v>insert into Customers values ('cust-088', 'Male', 'Lee Keller', '53 Engel Square', 'EAST', 'VIP', null, 'NO');</v>
      </c>
    </row>
    <row r="101" spans="1:13" x14ac:dyDescent="0.25">
      <c r="A101" s="1" t="s">
        <v>4689</v>
      </c>
      <c r="B101" s="1" t="str">
        <f t="shared" ca="1" si="5"/>
        <v>Male</v>
      </c>
      <c r="C101" t="str">
        <f ca="1">IF(B101 = "Male", r_fname_m(), IF(B101 = "Female", r_fname_f(), r_choice($N$1:$N$10)))&amp; " " &amp; r_lname()</f>
        <v>Andrew Rubio</v>
      </c>
      <c r="D101" t="str">
        <f ca="1">r_integer(0,300)&amp; " " &amp; r_lname()&amp; " "&amp; r_choice($O$1:$O$6)</f>
        <v>162 Nguyen Place</v>
      </c>
      <c r="E101" t="str">
        <f t="shared" ca="1" si="6"/>
        <v>CENTRAL</v>
      </c>
      <c r="F101" t="str">
        <f t="shared" ca="1" si="8"/>
        <v>LOW</v>
      </c>
      <c r="G101" s="1"/>
      <c r="H101" t="str">
        <f t="shared" ca="1" si="7"/>
        <v>NO</v>
      </c>
      <c r="M101" t="str">
        <f t="shared" ca="1" si="9"/>
        <v>insert into Customers values ('cust-089', 'Other', 'Ali Richmond', '55 Cummins Lane', 'NORTH', 'LOW', null, 'YES');</v>
      </c>
    </row>
    <row r="102" spans="1:13" x14ac:dyDescent="0.25">
      <c r="A102" s="1" t="s">
        <v>4690</v>
      </c>
      <c r="B102" s="1" t="str">
        <f t="shared" ca="1" si="5"/>
        <v>Female</v>
      </c>
      <c r="C102" t="str">
        <f ca="1">IF(B102 = "Male", r_fname_m(), IF(B102 = "Female", r_fname_f(), r_choice($N$1:$N$10)))&amp; " " &amp; r_lname()</f>
        <v>Shawanda Collins</v>
      </c>
      <c r="D102" t="str">
        <f ca="1">r_integer(0,300)&amp; " " &amp; r_lname()&amp; " "&amp; r_choice($O$1:$O$6)</f>
        <v>116 Stroud Square</v>
      </c>
      <c r="E102" t="str">
        <f t="shared" ca="1" si="6"/>
        <v>WEST</v>
      </c>
      <c r="F102" t="str">
        <f t="shared" ca="1" si="8"/>
        <v>MED</v>
      </c>
      <c r="G102" s="1"/>
      <c r="H102" t="str">
        <f t="shared" ca="1" si="7"/>
        <v>NO</v>
      </c>
      <c r="M102" t="str">
        <f t="shared" ca="1" si="9"/>
        <v>insert into Customers values ('cust-090', 'Female', 'Daniela Stinson', '300 Hatcher Street', 'SOUTH', 'HIGH', null, 'YES');</v>
      </c>
    </row>
    <row r="103" spans="1:13" x14ac:dyDescent="0.25">
      <c r="A103" s="1" t="s">
        <v>4691</v>
      </c>
      <c r="B103" s="1" t="str">
        <f t="shared" ca="1" si="5"/>
        <v>Male</v>
      </c>
      <c r="C103" t="str">
        <f ca="1">IF(B103 = "Male", r_fname_m(), IF(B103 = "Female", r_fname_f(), r_choice($N$1:$N$10)))&amp; " " &amp; r_lname()</f>
        <v>Lucio Hamilton</v>
      </c>
      <c r="D103" t="str">
        <f ca="1">r_integer(0,300)&amp; " " &amp; r_lname()&amp; " "&amp; r_choice($O$1:$O$6)</f>
        <v>104 Shafer Avenue</v>
      </c>
      <c r="E103" t="str">
        <f t="shared" ca="1" si="6"/>
        <v>SOUTH</v>
      </c>
      <c r="F103" t="str">
        <f t="shared" ca="1" si="8"/>
        <v>MED</v>
      </c>
      <c r="G103" s="1"/>
      <c r="H103" t="str">
        <f t="shared" ca="1" si="7"/>
        <v>NO</v>
      </c>
      <c r="M103" t="str">
        <f t="shared" ca="1" si="9"/>
        <v>insert into Customers values ('cust-091', 'Female', 'Kandace Barnard', '257 Mcdermott Park', 'SOUTH', 'HIGH', null, 'YES');</v>
      </c>
    </row>
    <row r="104" spans="1:13" x14ac:dyDescent="0.25">
      <c r="A104" s="1" t="s">
        <v>4692</v>
      </c>
      <c r="B104" s="1" t="str">
        <f t="shared" ca="1" si="5"/>
        <v>Other</v>
      </c>
      <c r="C104" t="str">
        <f ca="1">IF(B104 = "Male", r_fname_m(), IF(B104 = "Female", r_fname_f(), r_choice($N$1:$N$10)))&amp; " " &amp; r_lname()</f>
        <v>Jaimito Cope</v>
      </c>
      <c r="D104" t="str">
        <f ca="1">r_integer(0,300)&amp; " " &amp; r_lname()&amp; " "&amp; r_choice($O$1:$O$6)</f>
        <v>109 Petty Street</v>
      </c>
      <c r="E104" t="str">
        <f t="shared" ca="1" si="6"/>
        <v>NORTH</v>
      </c>
      <c r="F104" t="str">
        <f t="shared" ca="1" si="8"/>
        <v>VIP</v>
      </c>
      <c r="G104" s="1" t="s">
        <v>4544</v>
      </c>
      <c r="H104" t="str">
        <f t="shared" ca="1" si="7"/>
        <v>YES</v>
      </c>
      <c r="M104" t="str">
        <f t="shared" ca="1" si="9"/>
        <v>insert into Customers values ('cust-092', 'Male', 'Dusty Lin', '6 Cheng Street', 'NORTH', 'VIP', 'crd_078', 'YES');</v>
      </c>
    </row>
    <row r="105" spans="1:13" x14ac:dyDescent="0.25">
      <c r="A105" s="1" t="s">
        <v>4693</v>
      </c>
      <c r="B105" s="1" t="str">
        <f t="shared" ca="1" si="5"/>
        <v>Male</v>
      </c>
      <c r="C105" t="str">
        <f ca="1">IF(B105 = "Male", r_fname_m(), IF(B105 = "Female", r_fname_f(), r_choice($N$1:$N$10)))&amp; " " &amp; r_lname()</f>
        <v>Tim Toveney</v>
      </c>
      <c r="D105" t="str">
        <f ca="1">r_integer(0,300)&amp; " " &amp; r_lname()&amp; " "&amp; r_choice($O$1:$O$6)</f>
        <v>90 Bennigan Avenue</v>
      </c>
      <c r="E105" t="str">
        <f t="shared" ca="1" si="6"/>
        <v>NORTH</v>
      </c>
      <c r="F105" t="str">
        <f t="shared" ca="1" si="8"/>
        <v>MED</v>
      </c>
      <c r="G105" s="1"/>
      <c r="H105" t="str">
        <f t="shared" ca="1" si="7"/>
        <v>NO</v>
      </c>
      <c r="M105" t="str">
        <f t="shared" ca="1" si="9"/>
        <v>insert into Customers values ('cust-093', 'Male', 'Arthur Haney', '30 Plummer Lane', 'WEST', 'VIP', null, 'NO');</v>
      </c>
    </row>
    <row r="106" spans="1:13" x14ac:dyDescent="0.25">
      <c r="A106" s="1" t="s">
        <v>4694</v>
      </c>
      <c r="B106" s="1" t="str">
        <f t="shared" ca="1" si="5"/>
        <v>Male</v>
      </c>
      <c r="C106" t="str">
        <f ca="1">IF(B106 = "Male", r_fname_m(), IF(B106 = "Female", r_fname_f(), r_choice($N$1:$N$10)))&amp; " " &amp; r_lname()</f>
        <v>Danilo Allen</v>
      </c>
      <c r="D106" t="str">
        <f ca="1">r_integer(0,300)&amp; " " &amp; r_lname()&amp; " "&amp; r_choice($O$1:$O$6)</f>
        <v>190 Kiser Place</v>
      </c>
      <c r="E106" t="str">
        <f t="shared" ca="1" si="6"/>
        <v>CENTRAL</v>
      </c>
      <c r="F106" t="str">
        <f t="shared" ca="1" si="8"/>
        <v>LOW</v>
      </c>
      <c r="G106" s="1"/>
      <c r="H106" t="str">
        <f t="shared" ca="1" si="7"/>
        <v>NO</v>
      </c>
      <c r="M106" t="str">
        <f t="shared" ca="1" si="9"/>
        <v>insert into Customers values ('cust-094', 'Male', 'Lesley Burch', '148 Walton Avenue', 'SOUTH', 'VIP', null, 'YES');</v>
      </c>
    </row>
    <row r="107" spans="1:13" x14ac:dyDescent="0.25">
      <c r="A107" s="1" t="s">
        <v>4695</v>
      </c>
      <c r="B107" s="1" t="str">
        <f t="shared" ca="1" si="5"/>
        <v>Other</v>
      </c>
      <c r="C107" t="str">
        <f ca="1">IF(B107 = "Male", r_fname_m(), IF(B107 = "Female", r_fname_f(), r_choice($N$1:$N$10)))&amp; " " &amp; r_lname()</f>
        <v>Jaimito Murray</v>
      </c>
      <c r="D107" t="str">
        <f ca="1">r_integer(0,300)&amp; " " &amp; r_lname()&amp; " "&amp; r_choice($O$1:$O$6)</f>
        <v>85 Hutchinson Place</v>
      </c>
      <c r="E107" t="str">
        <f t="shared" ca="1" si="6"/>
        <v>NORTH</v>
      </c>
      <c r="F107" t="str">
        <f t="shared" ca="1" si="8"/>
        <v>HIGH</v>
      </c>
      <c r="G107" s="1" t="s">
        <v>4971</v>
      </c>
      <c r="H107" t="str">
        <f t="shared" ca="1" si="7"/>
        <v>NO</v>
      </c>
      <c r="M107" t="str">
        <f t="shared" ca="1" si="9"/>
        <v>insert into Customers values ('cust-095', 'Female', 'Penni Gunn', '74 Leigh Street', 'SOUTH', 'LOW', null, 'YES');</v>
      </c>
    </row>
    <row r="108" spans="1:13" x14ac:dyDescent="0.25">
      <c r="A108" s="1" t="s">
        <v>4696</v>
      </c>
      <c r="B108" s="1" t="str">
        <f t="shared" ca="1" si="5"/>
        <v>Male</v>
      </c>
      <c r="C108" t="str">
        <f ca="1">IF(B108 = "Male", r_fname_m(), IF(B108 = "Female", r_fname_f(), r_choice($N$1:$N$10)))&amp; " " &amp; r_lname()</f>
        <v>Rodney Phelps</v>
      </c>
      <c r="D108" t="str">
        <f ca="1">r_integer(0,300)&amp; " " &amp; r_lname()&amp; " "&amp; r_choice($O$1:$O$6)</f>
        <v>231 Shirley Street</v>
      </c>
      <c r="E108" t="str">
        <f t="shared" ca="1" si="6"/>
        <v>WEST</v>
      </c>
      <c r="F108" t="str">
        <f t="shared" ca="1" si="8"/>
        <v>MED</v>
      </c>
      <c r="G108" s="1"/>
      <c r="H108" t="str">
        <f t="shared" ca="1" si="7"/>
        <v>YES</v>
      </c>
      <c r="M108" t="str">
        <f t="shared" ca="1" si="9"/>
        <v>insert into Customers values ('cust-096', 'Male', 'Lazaro Sachs', '154 Holbrook Lane', 'WEST', 'HIGH', null, 'NO');</v>
      </c>
    </row>
    <row r="109" spans="1:13" x14ac:dyDescent="0.25">
      <c r="A109" s="1" t="s">
        <v>4697</v>
      </c>
      <c r="B109" s="1" t="str">
        <f t="shared" ca="1" si="5"/>
        <v>Male</v>
      </c>
      <c r="C109" t="str">
        <f ca="1">IF(B109 = "Male", r_fname_m(), IF(B109 = "Female", r_fname_f(), r_choice($N$1:$N$10)))&amp; " " &amp; r_lname()</f>
        <v>Jack Keenan</v>
      </c>
      <c r="D109" t="str">
        <f ca="1">r_integer(0,300)&amp; " " &amp; r_lname()&amp; " "&amp; r_choice($O$1:$O$6)</f>
        <v>193 Sprague Park</v>
      </c>
      <c r="E109" t="str">
        <f t="shared" ca="1" si="6"/>
        <v>SOUTH</v>
      </c>
      <c r="F109" t="str">
        <f t="shared" ca="1" si="8"/>
        <v>MED</v>
      </c>
      <c r="G109" s="1"/>
      <c r="H109" t="str">
        <f t="shared" ca="1" si="7"/>
        <v>YES</v>
      </c>
      <c r="M109" t="str">
        <f t="shared" ca="1" si="9"/>
        <v>insert into Customers values ('cust-097', 'Female', 'Trina Conrad', '203 Maher Street', 'WEST', 'HIGH', null, 'NO');</v>
      </c>
    </row>
    <row r="110" spans="1:13" x14ac:dyDescent="0.25">
      <c r="A110" s="1" t="s">
        <v>4698</v>
      </c>
      <c r="B110" s="1" t="str">
        <f t="shared" ca="1" si="5"/>
        <v>Other</v>
      </c>
      <c r="C110" t="str">
        <f ca="1">IF(B110 = "Male", r_fname_m(), IF(B110 = "Female", r_fname_f(), r_choice($N$1:$N$10)))&amp; " " &amp; r_lname()</f>
        <v>Ardis Horn</v>
      </c>
      <c r="D110" t="str">
        <f ca="1">r_integer(0,300)&amp; " " &amp; r_lname()&amp; " "&amp; r_choice($O$1:$O$6)</f>
        <v>200 Ash Avenue</v>
      </c>
      <c r="E110" t="str">
        <f t="shared" ca="1" si="6"/>
        <v>WEST</v>
      </c>
      <c r="F110" t="str">
        <f t="shared" ca="1" si="8"/>
        <v>MED</v>
      </c>
      <c r="G110" s="1"/>
      <c r="H110" t="str">
        <f t="shared" ca="1" si="7"/>
        <v>NO</v>
      </c>
      <c r="M110" t="str">
        <f t="shared" ca="1" si="9"/>
        <v>insert into Customers values ('cust-098', 'Other', 'Olive Wainwright', '107 Bradford Avenue', 'WEST', 'LOW', null, 'NO');</v>
      </c>
    </row>
    <row r="111" spans="1:13" x14ac:dyDescent="0.25">
      <c r="A111" s="1" t="s">
        <v>4699</v>
      </c>
      <c r="B111" s="1" t="str">
        <f t="shared" ca="1" si="5"/>
        <v>Male</v>
      </c>
      <c r="C111" t="str">
        <f ca="1">IF(B111 = "Male", r_fname_m(), IF(B111 = "Female", r_fname_f(), r_choice($N$1:$N$10)))&amp; " " &amp; r_lname()</f>
        <v>Darron Morris</v>
      </c>
      <c r="D111" t="str">
        <f ca="1">r_integer(0,300)&amp; " " &amp; r_lname()&amp; " "&amp; r_choice($O$1:$O$6)</f>
        <v>221 Kemp Park</v>
      </c>
      <c r="E111" t="str">
        <f t="shared" ca="1" si="6"/>
        <v>WEST</v>
      </c>
      <c r="F111" t="str">
        <f t="shared" ca="1" si="8"/>
        <v>VIP</v>
      </c>
      <c r="G111" s="1"/>
      <c r="H111" t="str">
        <f t="shared" ca="1" si="7"/>
        <v>YES</v>
      </c>
      <c r="M111" t="str">
        <f t="shared" ca="1" si="9"/>
        <v>insert into Customers values ('cust-099', 'Male', 'Nicholas Renteria', '235 Valenzuela Park', 'SOUTH', 'LOW', null, 'YES');</v>
      </c>
    </row>
    <row r="112" spans="1:13" x14ac:dyDescent="0.25">
      <c r="A112" s="1" t="s">
        <v>4700</v>
      </c>
      <c r="B112" s="1" t="str">
        <f t="shared" ca="1" si="5"/>
        <v>Male</v>
      </c>
      <c r="C112" t="str">
        <f ca="1">IF(B112 = "Male", r_fname_m(), IF(B112 = "Female", r_fname_f(), r_choice($N$1:$N$10)))&amp; " " &amp; r_lname()</f>
        <v>Lester Calderon</v>
      </c>
      <c r="D112" t="str">
        <f ca="1">r_integer(0,300)&amp; " " &amp; r_lname()&amp; " "&amp; r_choice($O$1:$O$6)</f>
        <v>278 Payne Street</v>
      </c>
      <c r="E112" t="str">
        <f t="shared" ca="1" si="6"/>
        <v>CENTRAL</v>
      </c>
      <c r="F112" t="str">
        <f t="shared" ca="1" si="8"/>
        <v>MED</v>
      </c>
      <c r="G112" s="1"/>
      <c r="H112" t="str">
        <f t="shared" ca="1" si="7"/>
        <v>YES</v>
      </c>
      <c r="M112" t="str">
        <f t="shared" ca="1" si="9"/>
        <v>insert into Customers values ('cust-100', 'Male', 'Andrew Rubio', '162 Nguyen Place', 'CENTRAL', 'LOW', null, 'NO');</v>
      </c>
    </row>
    <row r="113" spans="1:13" x14ac:dyDescent="0.25">
      <c r="A113" s="1" t="s">
        <v>4701</v>
      </c>
      <c r="B113" s="1" t="str">
        <f t="shared" ca="1" si="5"/>
        <v>Other</v>
      </c>
      <c r="C113" t="str">
        <f ca="1">IF(B113 = "Male", r_fname_m(), IF(B113 = "Female", r_fname_f(), r_choice($N$1:$N$10)))&amp; " " &amp; r_lname()</f>
        <v>Delma Francis</v>
      </c>
      <c r="D113" t="str">
        <f ca="1">r_integer(0,300)&amp; " " &amp; r_lname()&amp; " "&amp; r_choice($O$1:$O$6)</f>
        <v>163 Zapata Place</v>
      </c>
      <c r="E113" t="str">
        <f t="shared" ca="1" si="6"/>
        <v>SOUTH</v>
      </c>
      <c r="F113" t="str">
        <f t="shared" ca="1" si="8"/>
        <v>VIP</v>
      </c>
      <c r="G113" s="1" t="s">
        <v>4552</v>
      </c>
      <c r="H113" t="str">
        <f t="shared" ca="1" si="7"/>
        <v>YES</v>
      </c>
      <c r="M113" t="str">
        <f t="shared" ca="1" si="9"/>
        <v>insert into Customers values ('cust-101', 'Female', 'Shawanda Collins', '116 Stroud Square', 'WEST', 'MED', null, 'NO');</v>
      </c>
    </row>
    <row r="114" spans="1:13" x14ac:dyDescent="0.25">
      <c r="A114" s="1" t="s">
        <v>4702</v>
      </c>
      <c r="B114" s="1" t="str">
        <f t="shared" ca="1" si="5"/>
        <v>Other</v>
      </c>
      <c r="C114" t="str">
        <f ca="1">IF(B114 = "Male", r_fname_m(), IF(B114 = "Female", r_fname_f(), r_choice($N$1:$N$10)))&amp; " " &amp; r_lname()</f>
        <v>Novella Yeager</v>
      </c>
      <c r="D114" t="str">
        <f ca="1">r_integer(0,300)&amp; " " &amp; r_lname()&amp; " "&amp; r_choice($O$1:$O$6)</f>
        <v>34 Belzer Park</v>
      </c>
      <c r="E114" t="str">
        <f t="shared" ca="1" si="6"/>
        <v>EAST</v>
      </c>
      <c r="F114" t="str">
        <f t="shared" ca="1" si="8"/>
        <v>VIP</v>
      </c>
      <c r="G114" s="1"/>
      <c r="H114" t="str">
        <f t="shared" ca="1" si="7"/>
        <v>YES</v>
      </c>
      <c r="M114" t="str">
        <f t="shared" ca="1" si="9"/>
        <v>insert into Customers values ('cust-102', 'Male', 'Lucio Hamilton', '104 Shafer Avenue', 'SOUTH', 'MED', null, 'NO');</v>
      </c>
    </row>
    <row r="115" spans="1:13" x14ac:dyDescent="0.25">
      <c r="A115" s="1" t="s">
        <v>4703</v>
      </c>
      <c r="B115" s="1" t="str">
        <f t="shared" ca="1" si="5"/>
        <v>Other</v>
      </c>
      <c r="C115" t="str">
        <f ca="1">IF(B115 = "Male", r_fname_m(), IF(B115 = "Female", r_fname_f(), r_choice($N$1:$N$10)))&amp; " " &amp; r_lname()</f>
        <v>Else Pericoloso</v>
      </c>
      <c r="D115" t="str">
        <f ca="1">r_integer(0,300)&amp; " " &amp; r_lname()&amp; " "&amp; r_choice($O$1:$O$6)</f>
        <v>245 Guy Square</v>
      </c>
      <c r="E115" t="str">
        <f t="shared" ca="1" si="6"/>
        <v>CENTRAL</v>
      </c>
      <c r="F115" t="str">
        <f t="shared" ca="1" si="8"/>
        <v>LOW</v>
      </c>
      <c r="G115" s="1"/>
      <c r="H115" t="str">
        <f t="shared" ca="1" si="7"/>
        <v>NO</v>
      </c>
      <c r="M115" t="str">
        <f t="shared" ca="1" si="9"/>
        <v>insert into Customers values ('cust-103', 'Other', 'Jaimito Cope', '109 Petty Street', 'NORTH', 'VIP', 'crd_004', 'YES');</v>
      </c>
    </row>
    <row r="116" spans="1:13" x14ac:dyDescent="0.25">
      <c r="A116" s="1" t="s">
        <v>4704</v>
      </c>
      <c r="B116" s="1" t="str">
        <f t="shared" ca="1" si="5"/>
        <v>Male</v>
      </c>
      <c r="C116" t="str">
        <f ca="1">IF(B116 = "Male", r_fname_m(), IF(B116 = "Female", r_fname_f(), r_choice($N$1:$N$10)))&amp; " " &amp; r_lname()</f>
        <v>Adam Parra</v>
      </c>
      <c r="D116" t="str">
        <f ca="1">r_integer(0,300)&amp; " " &amp; r_lname()&amp; " "&amp; r_choice($O$1:$O$6)</f>
        <v>27 Panucci Lane</v>
      </c>
      <c r="E116" t="str">
        <f t="shared" ca="1" si="6"/>
        <v>EAST</v>
      </c>
      <c r="F116" t="str">
        <f t="shared" ca="1" si="8"/>
        <v>MED</v>
      </c>
      <c r="G116" s="1"/>
      <c r="H116" t="str">
        <f t="shared" ca="1" si="7"/>
        <v>NO</v>
      </c>
      <c r="M116" t="str">
        <f t="shared" ca="1" si="9"/>
        <v>insert into Customers values ('cust-104', 'Male', 'Tim Toveney', '90 Bennigan Avenue', 'NORTH', 'MED', null, 'NO');</v>
      </c>
    </row>
    <row r="117" spans="1:13" x14ac:dyDescent="0.25">
      <c r="A117" s="1" t="s">
        <v>4705</v>
      </c>
      <c r="B117" s="1" t="str">
        <f t="shared" ca="1" si="5"/>
        <v>Male</v>
      </c>
      <c r="C117" t="str">
        <f ca="1">IF(B117 = "Male", r_fname_m(), IF(B117 = "Female", r_fname_f(), r_choice($N$1:$N$10)))&amp; " " &amp; r_lname()</f>
        <v>Vzevolod Castillo</v>
      </c>
      <c r="D117" t="str">
        <f ca="1">r_integer(0,300)&amp; " " &amp; r_lname()&amp; " "&amp; r_choice($O$1:$O$6)</f>
        <v>228 Tedescho Lane</v>
      </c>
      <c r="E117" t="str">
        <f t="shared" ca="1" si="6"/>
        <v>EAST</v>
      </c>
      <c r="F117" t="str">
        <f t="shared" ca="1" si="8"/>
        <v>MED</v>
      </c>
      <c r="G117" s="1" t="s">
        <v>4941</v>
      </c>
      <c r="H117" t="str">
        <f t="shared" ca="1" si="7"/>
        <v>YES</v>
      </c>
      <c r="M117" t="str">
        <f t="shared" ca="1" si="9"/>
        <v>insert into Customers values ('cust-105', 'Male', 'Danilo Allen', '190 Kiser Place', 'CENTRAL', 'LOW', null, 'NO');</v>
      </c>
    </row>
    <row r="118" spans="1:13" x14ac:dyDescent="0.25">
      <c r="A118" s="1" t="s">
        <v>4706</v>
      </c>
      <c r="B118" s="1" t="str">
        <f t="shared" ca="1" si="5"/>
        <v>Other</v>
      </c>
      <c r="C118" t="str">
        <f ca="1">IF(B118 = "Male", r_fname_m(), IF(B118 = "Female", r_fname_f(), r_choice($N$1:$N$10)))&amp; " " &amp; r_lname()</f>
        <v>Rosaura Hanna</v>
      </c>
      <c r="D118" t="str">
        <f ca="1">r_integer(0,300)&amp; " " &amp; r_lname()&amp; " "&amp; r_choice($O$1:$O$6)</f>
        <v>138 Bauer Lane</v>
      </c>
      <c r="E118" t="str">
        <f t="shared" ca="1" si="6"/>
        <v>SOUTH</v>
      </c>
      <c r="F118" t="str">
        <f t="shared" ca="1" si="8"/>
        <v>MED</v>
      </c>
      <c r="G118" s="1"/>
      <c r="H118" t="str">
        <f t="shared" ca="1" si="7"/>
        <v>YES</v>
      </c>
      <c r="M118" t="str">
        <f t="shared" ca="1" si="9"/>
        <v>insert into Customers values ('cust-106', 'Other', 'Jaimito Murray', '85 Hutchinson Place', 'NORTH', 'HIGH', 'crd_099', 'NO');</v>
      </c>
    </row>
    <row r="119" spans="1:13" x14ac:dyDescent="0.25">
      <c r="A119" s="1" t="s">
        <v>4707</v>
      </c>
      <c r="B119" s="1" t="str">
        <f t="shared" ca="1" si="5"/>
        <v>Other</v>
      </c>
      <c r="C119" t="str">
        <f ca="1">IF(B119 = "Male", r_fname_m(), IF(B119 = "Female", r_fname_f(), r_choice($N$1:$N$10)))&amp; " " &amp; r_lname()</f>
        <v>Jaimito Good</v>
      </c>
      <c r="D119" t="str">
        <f ca="1">r_integer(0,300)&amp; " " &amp; r_lname()&amp; " "&amp; r_choice($O$1:$O$6)</f>
        <v>299 Fish Avenue</v>
      </c>
      <c r="E119" t="str">
        <f t="shared" ca="1" si="6"/>
        <v>SOUTH</v>
      </c>
      <c r="F119" t="str">
        <f t="shared" ca="1" si="8"/>
        <v>LOW</v>
      </c>
      <c r="G119" s="1"/>
      <c r="H119" t="str">
        <f t="shared" ca="1" si="7"/>
        <v>NO</v>
      </c>
      <c r="M119" t="str">
        <f t="shared" ca="1" si="9"/>
        <v>insert into Customers values ('cust-107', 'Male', 'Rodney Phelps', '231 Shirley Street', 'WEST', 'MED', null, 'YES');</v>
      </c>
    </row>
    <row r="120" spans="1:13" x14ac:dyDescent="0.25">
      <c r="A120" s="1" t="s">
        <v>4708</v>
      </c>
      <c r="B120" s="1" t="str">
        <f t="shared" ca="1" si="5"/>
        <v>Male</v>
      </c>
      <c r="C120" t="str">
        <f ca="1">IF(B120 = "Male", r_fname_m(), IF(B120 = "Female", r_fname_f(), r_choice($N$1:$N$10)))&amp; " " &amp; r_lname()</f>
        <v>Marlin Templar</v>
      </c>
      <c r="D120" t="str">
        <f ca="1">r_integer(0,300)&amp; " " &amp; r_lname()&amp; " "&amp; r_choice($O$1:$O$6)</f>
        <v>32 Uribe Avenue</v>
      </c>
      <c r="E120" t="str">
        <f t="shared" ca="1" si="6"/>
        <v>SOUTH</v>
      </c>
      <c r="F120" t="str">
        <f t="shared" ca="1" si="8"/>
        <v>LOW</v>
      </c>
      <c r="G120" s="1"/>
      <c r="H120" t="str">
        <f t="shared" ca="1" si="7"/>
        <v>NO</v>
      </c>
      <c r="M120" t="str">
        <f t="shared" ca="1" si="9"/>
        <v>insert into Customers values ('cust-108', 'Male', 'Jack Keenan', '193 Sprague Park', 'SOUTH', 'MED', null, 'YES');</v>
      </c>
    </row>
    <row r="121" spans="1:13" x14ac:dyDescent="0.25">
      <c r="A121" s="1" t="s">
        <v>4709</v>
      </c>
      <c r="B121" s="1" t="str">
        <f t="shared" ca="1" si="5"/>
        <v>Other</v>
      </c>
      <c r="C121" t="str">
        <f ca="1">IF(B121 = "Male", r_fname_m(), IF(B121 = "Female", r_fname_f(), r_choice($N$1:$N$10)))&amp; " " &amp; r_lname()</f>
        <v>Jaimito Winslow</v>
      </c>
      <c r="D121" t="str">
        <f ca="1">r_integer(0,300)&amp; " " &amp; r_lname()&amp; " "&amp; r_choice($O$1:$O$6)</f>
        <v>93 Ramsey Lane</v>
      </c>
      <c r="E121" t="str">
        <f t="shared" ca="1" si="6"/>
        <v>WEST</v>
      </c>
      <c r="F121" t="str">
        <f t="shared" ca="1" si="8"/>
        <v>VIP</v>
      </c>
      <c r="G121" s="1"/>
      <c r="H121" t="str">
        <f t="shared" ca="1" si="7"/>
        <v>YES</v>
      </c>
      <c r="M121" t="str">
        <f t="shared" ca="1" si="9"/>
        <v>insert into Customers values ('cust-109', 'Other', 'Ardis Horn', '200 Ash Avenue', 'WEST', 'MED', null, 'NO');</v>
      </c>
    </row>
    <row r="122" spans="1:13" x14ac:dyDescent="0.25">
      <c r="A122" s="1" t="s">
        <v>4710</v>
      </c>
      <c r="B122" s="1" t="str">
        <f t="shared" ca="1" si="5"/>
        <v>Male</v>
      </c>
      <c r="C122" t="str">
        <f ca="1">IF(B122 = "Male", r_fname_m(), IF(B122 = "Female", r_fname_f(), r_choice($N$1:$N$10)))&amp; " " &amp; r_lname()</f>
        <v>Morris McGuyver</v>
      </c>
      <c r="D122" t="str">
        <f ca="1">r_integer(0,300)&amp; " " &amp; r_lname()&amp; " "&amp; r_choice($O$1:$O$6)</f>
        <v>164 Hadley Street</v>
      </c>
      <c r="E122" t="str">
        <f t="shared" ca="1" si="6"/>
        <v>WEST</v>
      </c>
      <c r="F122" t="str">
        <f t="shared" ca="1" si="8"/>
        <v>MED</v>
      </c>
      <c r="G122" s="1"/>
      <c r="H122" t="str">
        <f t="shared" ca="1" si="7"/>
        <v>YES</v>
      </c>
      <c r="M122" t="str">
        <f t="shared" ca="1" si="9"/>
        <v>insert into Customers values ('cust-110', 'Male', 'Darron Morris', '221 Kemp Park', 'WEST', 'VIP', null, 'YES');</v>
      </c>
    </row>
    <row r="123" spans="1:13" x14ac:dyDescent="0.25">
      <c r="A123" s="1" t="s">
        <v>4711</v>
      </c>
      <c r="B123" s="1" t="str">
        <f t="shared" ca="1" si="5"/>
        <v>Male</v>
      </c>
      <c r="C123" t="str">
        <f ca="1">IF(B123 = "Male", r_fname_m(), IF(B123 = "Female", r_fname_f(), r_choice($N$1:$N$10)))&amp; " " &amp; r_lname()</f>
        <v>Deandre Estrada</v>
      </c>
      <c r="D123" t="str">
        <f ca="1">r_integer(0,300)&amp; " " &amp; r_lname()&amp; " "&amp; r_choice($O$1:$O$6)</f>
        <v>6 Hackett Avenue</v>
      </c>
      <c r="E123" t="str">
        <f t="shared" ca="1" si="6"/>
        <v>SOUTH</v>
      </c>
      <c r="F123" t="str">
        <f t="shared" ca="1" si="8"/>
        <v>VIP</v>
      </c>
      <c r="G123" s="1" t="s">
        <v>4545</v>
      </c>
      <c r="H123" t="str">
        <f t="shared" ca="1" si="7"/>
        <v>YES</v>
      </c>
      <c r="M123" t="str">
        <f t="shared" ca="1" si="9"/>
        <v>insert into Customers values ('cust-111', 'Male', 'Lester Calderon', '278 Payne Street', 'CENTRAL', 'MED', null, 'YES');</v>
      </c>
    </row>
    <row r="124" spans="1:13" x14ac:dyDescent="0.25">
      <c r="A124" s="1" t="s">
        <v>4712</v>
      </c>
      <c r="B124" s="1" t="str">
        <f t="shared" ca="1" si="5"/>
        <v>Male</v>
      </c>
      <c r="C124" t="str">
        <f ca="1">IF(B124 = "Male", r_fname_m(), IF(B124 = "Female", r_fname_f(), r_choice($N$1:$N$10)))&amp; " " &amp; r_lname()</f>
        <v>Gustave Cuellar</v>
      </c>
      <c r="D124" t="str">
        <f ca="1">r_integer(0,300)&amp; " " &amp; r_lname()&amp; " "&amp; r_choice($O$1:$O$6)</f>
        <v>88 Manuel Avenue</v>
      </c>
      <c r="E124" t="str">
        <f t="shared" ca="1" si="6"/>
        <v>NORTH</v>
      </c>
      <c r="F124" t="str">
        <f t="shared" ca="1" si="8"/>
        <v>HIGH</v>
      </c>
      <c r="G124" s="1" t="s">
        <v>4585</v>
      </c>
      <c r="H124" t="str">
        <f t="shared" ca="1" si="7"/>
        <v>YES</v>
      </c>
      <c r="M124" t="str">
        <f t="shared" ca="1" si="9"/>
        <v>insert into Customers values ('cust-112', 'Other', 'Delma Francis', '163 Zapata Place', 'SOUTH', 'VIP', 'crd_012', 'YES');</v>
      </c>
    </row>
    <row r="125" spans="1:13" x14ac:dyDescent="0.25">
      <c r="A125" s="1" t="s">
        <v>4713</v>
      </c>
      <c r="B125" s="1" t="str">
        <f t="shared" ca="1" si="5"/>
        <v>Male</v>
      </c>
      <c r="C125" t="str">
        <f ca="1">IF(B125 = "Male", r_fname_m(), IF(B125 = "Female", r_fname_f(), r_choice($N$1:$N$10)))&amp; " " &amp; r_lname()</f>
        <v>Kurtis Longworth</v>
      </c>
      <c r="D125" t="str">
        <f ca="1">r_integer(0,300)&amp; " " &amp; r_lname()&amp; " "&amp; r_choice($O$1:$O$6)</f>
        <v>271 Jenkins Street</v>
      </c>
      <c r="E125" t="str">
        <f t="shared" ca="1" si="6"/>
        <v>EAST</v>
      </c>
      <c r="F125" t="str">
        <f t="shared" ca="1" si="8"/>
        <v>LOW</v>
      </c>
      <c r="G125" s="1" t="s">
        <v>4964</v>
      </c>
      <c r="H125" t="str">
        <f t="shared" ca="1" si="7"/>
        <v>NO</v>
      </c>
      <c r="M125" t="str">
        <f t="shared" ca="1" si="9"/>
        <v>insert into Customers values ('cust-113', 'Other', 'Novella Yeager', '34 Belzer Park', 'EAST', 'VIP', null, 'YES');</v>
      </c>
    </row>
    <row r="126" spans="1:13" x14ac:dyDescent="0.25">
      <c r="A126" s="1" t="s">
        <v>4714</v>
      </c>
      <c r="B126" s="1" t="str">
        <f t="shared" ca="1" si="5"/>
        <v>Female</v>
      </c>
      <c r="C126" t="str">
        <f ca="1">IF(B126 = "Male", r_fname_m(), IF(B126 = "Female", r_fname_f(), r_choice($N$1:$N$10)))&amp; " " &amp; r_lname()</f>
        <v>Lylah Forrester</v>
      </c>
      <c r="D126" t="str">
        <f ca="1">r_integer(0,300)&amp; " " &amp; r_lname()&amp; " "&amp; r_choice($O$1:$O$6)</f>
        <v>139 Preston Square</v>
      </c>
      <c r="E126" t="str">
        <f t="shared" ca="1" si="6"/>
        <v>CENTRAL</v>
      </c>
      <c r="F126" t="str">
        <f t="shared" ca="1" si="8"/>
        <v>LOW</v>
      </c>
      <c r="G126" s="1"/>
      <c r="H126" t="str">
        <f t="shared" ca="1" si="7"/>
        <v>NO</v>
      </c>
      <c r="M126" t="str">
        <f t="shared" ca="1" si="9"/>
        <v>insert into Customers values ('cust-114', 'Other', 'Else Pericoloso', '245 Guy Square', 'CENTRAL', 'LOW', null, 'NO');</v>
      </c>
    </row>
    <row r="127" spans="1:13" x14ac:dyDescent="0.25">
      <c r="A127" s="1" t="s">
        <v>4715</v>
      </c>
      <c r="B127" s="1" t="str">
        <f t="shared" ca="1" si="5"/>
        <v>Other</v>
      </c>
      <c r="C127" t="str">
        <f ca="1">IF(B127 = "Male", r_fname_m(), IF(B127 = "Female", r_fname_f(), r_choice($N$1:$N$10)))&amp; " " &amp; r_lname()</f>
        <v>Delma Mata</v>
      </c>
      <c r="D127" t="str">
        <f ca="1">r_integer(0,300)&amp; " " &amp; r_lname()&amp; " "&amp; r_choice($O$1:$O$6)</f>
        <v>161 Hoffman Place</v>
      </c>
      <c r="E127" t="str">
        <f t="shared" ca="1" si="6"/>
        <v>CENTRAL</v>
      </c>
      <c r="F127" t="str">
        <f t="shared" ca="1" si="8"/>
        <v>HIGH</v>
      </c>
      <c r="G127" s="1"/>
      <c r="H127" t="str">
        <f t="shared" ca="1" si="7"/>
        <v>NO</v>
      </c>
      <c r="M127" t="str">
        <f t="shared" ca="1" si="9"/>
        <v>insert into Customers values ('cust-115', 'Male', 'Adam Parra', '27 Panucci Lane', 'EAST', 'MED', null, 'NO');</v>
      </c>
    </row>
    <row r="128" spans="1:13" x14ac:dyDescent="0.25">
      <c r="A128" s="1" t="s">
        <v>4716</v>
      </c>
      <c r="B128" s="1" t="str">
        <f t="shared" ca="1" si="5"/>
        <v>Other</v>
      </c>
      <c r="C128" t="str">
        <f ca="1">IF(B128 = "Male", r_fname_m(), IF(B128 = "Female", r_fname_f(), r_choice($N$1:$N$10)))&amp; " " &amp; r_lname()</f>
        <v>Delma Maguire</v>
      </c>
      <c r="D128" t="str">
        <f ca="1">r_integer(0,300)&amp; " " &amp; r_lname()&amp; " "&amp; r_choice($O$1:$O$6)</f>
        <v>156 Carranza Street</v>
      </c>
      <c r="E128" t="str">
        <f t="shared" ca="1" si="6"/>
        <v>NORTH</v>
      </c>
      <c r="F128" t="str">
        <f t="shared" ca="1" si="8"/>
        <v>HIGH</v>
      </c>
      <c r="G128" s="1" t="s">
        <v>4583</v>
      </c>
      <c r="H128" t="str">
        <f t="shared" ca="1" si="7"/>
        <v>NO</v>
      </c>
      <c r="M128" t="str">
        <f t="shared" ca="1" si="9"/>
        <v>insert into Customers values ('cust-116', 'Male', 'Vzevolod Castillo', '228 Tedescho Lane', 'EAST', 'MED', 'crd_069', 'YES');</v>
      </c>
    </row>
    <row r="129" spans="1:13" x14ac:dyDescent="0.25">
      <c r="A129" s="1" t="s">
        <v>4717</v>
      </c>
      <c r="B129" s="1" t="str">
        <f t="shared" ca="1" si="5"/>
        <v>Female</v>
      </c>
      <c r="C129" t="str">
        <f ca="1">IF(B129 = "Male", r_fname_m(), IF(B129 = "Female", r_fname_f(), r_choice($N$1:$N$10)))&amp; " " &amp; r_lname()</f>
        <v>Tomi Adams</v>
      </c>
      <c r="D129" t="str">
        <f ca="1">r_integer(0,300)&amp; " " &amp; r_lname()&amp; " "&amp; r_choice($O$1:$O$6)</f>
        <v>145 Esposito Park</v>
      </c>
      <c r="E129" t="str">
        <f t="shared" ca="1" si="6"/>
        <v>NORTH</v>
      </c>
      <c r="F129" t="str">
        <f t="shared" ca="1" si="8"/>
        <v>LOW</v>
      </c>
      <c r="G129" s="1"/>
      <c r="H129" t="str">
        <f t="shared" ca="1" si="7"/>
        <v>YES</v>
      </c>
      <c r="M129" t="str">
        <f t="shared" ca="1" si="9"/>
        <v>insert into Customers values ('cust-117', 'Other', 'Rosaura Hanna', '138 Bauer Lane', 'SOUTH', 'MED', null, 'YES');</v>
      </c>
    </row>
    <row r="130" spans="1:13" x14ac:dyDescent="0.25">
      <c r="A130" s="1" t="s">
        <v>4718</v>
      </c>
      <c r="B130" s="1" t="str">
        <f t="shared" ref="B130:B193" ca="1" si="10">r_choice($M$1:$M$3)</f>
        <v>Female</v>
      </c>
      <c r="C130" t="str">
        <f ca="1">IF(B130 = "Male", r_fname_m(), IF(B130 = "Female", r_fname_f(), r_choice($N$1:$N$10)))&amp; " " &amp; r_lname()</f>
        <v>Danielle Mejia</v>
      </c>
      <c r="D130" t="str">
        <f ca="1">r_integer(0,300)&amp; " " &amp; r_lname()&amp; " "&amp; r_choice($O$1:$O$6)</f>
        <v>95 Weil Square</v>
      </c>
      <c r="E130" t="str">
        <f t="shared" ref="E130:E193" ca="1" si="11">r_choice($P$1:$P$5)</f>
        <v>EAST</v>
      </c>
      <c r="F130" t="str">
        <f t="shared" ca="1" si="8"/>
        <v>HIGH</v>
      </c>
      <c r="G130" s="1"/>
      <c r="H130" t="str">
        <f t="shared" ref="H130:H193" ca="1" si="12">r_choice($M$5:$M$6)</f>
        <v>YES</v>
      </c>
      <c r="M130" t="str">
        <f t="shared" ca="1" si="9"/>
        <v>insert into Customers values ('cust-118', 'Other', 'Jaimito Good', '299 Fish Avenue', 'SOUTH', 'LOW', null, 'NO');</v>
      </c>
    </row>
    <row r="131" spans="1:13" x14ac:dyDescent="0.25">
      <c r="A131" s="1" t="s">
        <v>4719</v>
      </c>
      <c r="B131" s="1" t="str">
        <f t="shared" ca="1" si="10"/>
        <v>Male</v>
      </c>
      <c r="C131" t="str">
        <f ca="1">IF(B131 = "Male", r_fname_m(), IF(B131 = "Female", r_fname_f(), r_choice($N$1:$N$10)))&amp; " " &amp; r_lname()</f>
        <v>Michale Hogan</v>
      </c>
      <c r="D131" t="str">
        <f ca="1">r_integer(0,300)&amp; " " &amp; r_lname()&amp; " "&amp; r_choice($O$1:$O$6)</f>
        <v>73 Shafer Square</v>
      </c>
      <c r="E131" t="str">
        <f t="shared" ca="1" si="11"/>
        <v>SOUTH</v>
      </c>
      <c r="F131" t="str">
        <f t="shared" ref="F131:F194" ca="1" si="13">r_choice($Q$1:$Q$4)</f>
        <v>LOW</v>
      </c>
      <c r="G131" s="1"/>
      <c r="H131" t="str">
        <f t="shared" ca="1" si="12"/>
        <v>YES</v>
      </c>
      <c r="M131" t="str">
        <f t="shared" ca="1" si="9"/>
        <v>insert into Customers values ('cust-119', 'Male', 'Marlin Templar', '32 Uribe Avenue', 'SOUTH', 'LOW', null, 'NO');</v>
      </c>
    </row>
    <row r="132" spans="1:13" x14ac:dyDescent="0.25">
      <c r="A132" s="1" t="s">
        <v>4720</v>
      </c>
      <c r="B132" s="1" t="str">
        <f t="shared" ca="1" si="10"/>
        <v>Female</v>
      </c>
      <c r="C132" t="str">
        <f ca="1">IF(B132 = "Male", r_fname_m(), IF(B132 = "Female", r_fname_f(), r_choice($N$1:$N$10)))&amp; " " &amp; r_lname()</f>
        <v>Ivette Watkins</v>
      </c>
      <c r="D132" t="str">
        <f ca="1">r_integer(0,300)&amp; " " &amp; r_lname()&amp; " "&amp; r_choice($O$1:$O$6)</f>
        <v>147 Elkins Park</v>
      </c>
      <c r="E132" t="str">
        <f t="shared" ca="1" si="11"/>
        <v>SOUTH</v>
      </c>
      <c r="F132" t="str">
        <f t="shared" ca="1" si="13"/>
        <v>MED</v>
      </c>
      <c r="G132" s="1"/>
      <c r="H132" t="str">
        <f t="shared" ca="1" si="12"/>
        <v>YES</v>
      </c>
      <c r="M132" t="str">
        <f t="shared" ca="1" si="9"/>
        <v>insert into Customers values ('cust-120', 'Other', 'Jaimito Winslow', '93 Ramsey Lane', 'WEST', 'VIP', null, 'YES');</v>
      </c>
    </row>
    <row r="133" spans="1:13" x14ac:dyDescent="0.25">
      <c r="A133" s="1" t="s">
        <v>4721</v>
      </c>
      <c r="B133" s="1" t="str">
        <f t="shared" ca="1" si="10"/>
        <v>Other</v>
      </c>
      <c r="C133" t="str">
        <f ca="1">IF(B133 = "Male", r_fname_m(), IF(B133 = "Female", r_fname_f(), r_choice($N$1:$N$10)))&amp; " " &amp; r_lname()</f>
        <v>Ardis Morales</v>
      </c>
      <c r="D133" t="str">
        <f ca="1">r_integer(0,300)&amp; " " &amp; r_lname()&amp; " "&amp; r_choice($O$1:$O$6)</f>
        <v>9 Feldenkreis Place</v>
      </c>
      <c r="E133" t="str">
        <f t="shared" ca="1" si="11"/>
        <v>SOUTH</v>
      </c>
      <c r="F133" t="str">
        <f t="shared" ca="1" si="13"/>
        <v>VIP</v>
      </c>
      <c r="G133" s="1" t="s">
        <v>4940</v>
      </c>
      <c r="H133" t="str">
        <f t="shared" ca="1" si="12"/>
        <v>YES</v>
      </c>
      <c r="M133" t="str">
        <f t="shared" ca="1" si="9"/>
        <v>insert into Customers values ('cust-121', 'Male', 'Morris McGuyver', '164 Hadley Street', 'WEST', 'MED', null, 'YES');</v>
      </c>
    </row>
    <row r="134" spans="1:13" x14ac:dyDescent="0.25">
      <c r="A134" s="1" t="s">
        <v>4722</v>
      </c>
      <c r="B134" s="1" t="str">
        <f t="shared" ca="1" si="10"/>
        <v>Male</v>
      </c>
      <c r="C134" t="str">
        <f ca="1">IF(B134 = "Male", r_fname_m(), IF(B134 = "Female", r_fname_f(), r_choice($N$1:$N$10)))&amp; " " &amp; r_lname()</f>
        <v>Oswaldo Spangler</v>
      </c>
      <c r="D134" t="str">
        <f ca="1">r_integer(0,300)&amp; " " &amp; r_lname()&amp; " "&amp; r_choice($O$1:$O$6)</f>
        <v>245 Chin Park</v>
      </c>
      <c r="E134" t="str">
        <f t="shared" ca="1" si="11"/>
        <v>SOUTH</v>
      </c>
      <c r="F134" t="str">
        <f t="shared" ca="1" si="13"/>
        <v>MED</v>
      </c>
      <c r="G134" s="1" t="s">
        <v>4578</v>
      </c>
      <c r="H134" t="str">
        <f t="shared" ca="1" si="12"/>
        <v>YES</v>
      </c>
      <c r="M134" t="str">
        <f t="shared" ca="1" si="9"/>
        <v>insert into Customers values ('cust-122', 'Male', 'Deandre Estrada', '6 Hackett Avenue', 'SOUTH', 'VIP', 'crd_005', 'YES');</v>
      </c>
    </row>
    <row r="135" spans="1:13" x14ac:dyDescent="0.25">
      <c r="A135" s="1" t="s">
        <v>4723</v>
      </c>
      <c r="B135" s="1" t="str">
        <f t="shared" ca="1" si="10"/>
        <v>Female</v>
      </c>
      <c r="C135" t="str">
        <f ca="1">IF(B135 = "Male", r_fname_m(), IF(B135 = "Female", r_fname_f(), r_choice($N$1:$N$10)))&amp; " " &amp; r_lname()</f>
        <v>Bertha Beneton</v>
      </c>
      <c r="D135" t="str">
        <f ca="1">r_integer(0,300)&amp; " " &amp; r_lname()&amp; " "&amp; r_choice($O$1:$O$6)</f>
        <v>223 Frank Avenue</v>
      </c>
      <c r="E135" t="str">
        <f t="shared" ca="1" si="11"/>
        <v>NORTH</v>
      </c>
      <c r="F135" t="str">
        <f t="shared" ca="1" si="13"/>
        <v>MED</v>
      </c>
      <c r="G135" s="1"/>
      <c r="H135" t="str">
        <f t="shared" ca="1" si="12"/>
        <v>NO</v>
      </c>
      <c r="M135" t="str">
        <f t="shared" ca="1" si="9"/>
        <v>insert into Customers values ('cust-123', 'Male', 'Gustave Cuellar', '88 Manuel Avenue', 'NORTH', 'HIGH', 'crd_045', 'YES');</v>
      </c>
    </row>
    <row r="136" spans="1:13" x14ac:dyDescent="0.25">
      <c r="A136" s="1" t="s">
        <v>4724</v>
      </c>
      <c r="B136" s="1" t="str">
        <f t="shared" ca="1" si="10"/>
        <v>Female</v>
      </c>
      <c r="C136" t="str">
        <f ca="1">IF(B136 = "Male", r_fname_m(), IF(B136 = "Female", r_fname_f(), r_choice($N$1:$N$10)))&amp; " " &amp; r_lname()</f>
        <v>Deonna Ware</v>
      </c>
      <c r="D136" t="str">
        <f ca="1">r_integer(0,300)&amp; " " &amp; r_lname()&amp; " "&amp; r_choice($O$1:$O$6)</f>
        <v>76 Shea Street</v>
      </c>
      <c r="E136" t="str">
        <f t="shared" ca="1" si="11"/>
        <v>WEST</v>
      </c>
      <c r="F136" t="str">
        <f t="shared" ca="1" si="13"/>
        <v>MED</v>
      </c>
      <c r="G136" s="1"/>
      <c r="H136" t="str">
        <f t="shared" ca="1" si="12"/>
        <v>YES</v>
      </c>
      <c r="M136" t="str">
        <f t="shared" ca="1" si="9"/>
        <v>insert into Customers values ('cust-124', 'Male', 'Kurtis Longworth', '271 Jenkins Street', 'EAST', 'LOW', 'crd_092', 'NO');</v>
      </c>
    </row>
    <row r="137" spans="1:13" x14ac:dyDescent="0.25">
      <c r="A137" s="1" t="s">
        <v>4725</v>
      </c>
      <c r="B137" s="1" t="str">
        <f t="shared" ca="1" si="10"/>
        <v>Other</v>
      </c>
      <c r="C137" t="str">
        <f ca="1">IF(B137 = "Male", r_fname_m(), IF(B137 = "Female", r_fname_f(), r_choice($N$1:$N$10)))&amp; " " &amp; r_lname()</f>
        <v>Rosaura Frye</v>
      </c>
      <c r="D137" t="str">
        <f ca="1">r_integer(0,300)&amp; " " &amp; r_lname()&amp; " "&amp; r_choice($O$1:$O$6)</f>
        <v>71 Rowe Place</v>
      </c>
      <c r="E137" t="str">
        <f t="shared" ca="1" si="11"/>
        <v>NORTH</v>
      </c>
      <c r="F137" t="str">
        <f t="shared" ca="1" si="13"/>
        <v>VIP</v>
      </c>
      <c r="G137" s="1" t="s">
        <v>4936</v>
      </c>
      <c r="H137" t="str">
        <f t="shared" ca="1" si="12"/>
        <v>YES</v>
      </c>
      <c r="M137" t="str">
        <f t="shared" ca="1" si="9"/>
        <v>insert into Customers values ('cust-125', 'Female', 'Lylah Forrester', '139 Preston Square', 'CENTRAL', 'LOW', null, 'NO');</v>
      </c>
    </row>
    <row r="138" spans="1:13" x14ac:dyDescent="0.25">
      <c r="A138" s="1" t="s">
        <v>4726</v>
      </c>
      <c r="B138" s="1" t="str">
        <f t="shared" ca="1" si="10"/>
        <v>Female</v>
      </c>
      <c r="C138" t="str">
        <f ca="1">IF(B138 = "Male", r_fname_m(), IF(B138 = "Female", r_fname_f(), r_choice($N$1:$N$10)))&amp; " " &amp; r_lname()</f>
        <v>Olive Downs</v>
      </c>
      <c r="D138" t="str">
        <f ca="1">r_integer(0,300)&amp; " " &amp; r_lname()&amp; " "&amp; r_choice($O$1:$O$6)</f>
        <v>95 Drake Avenue</v>
      </c>
      <c r="E138" t="str">
        <f t="shared" ca="1" si="11"/>
        <v>CENTRAL</v>
      </c>
      <c r="F138" t="str">
        <f t="shared" ca="1" si="13"/>
        <v>LOW</v>
      </c>
      <c r="G138" s="1" t="s">
        <v>4946</v>
      </c>
      <c r="H138" t="str">
        <f t="shared" ca="1" si="12"/>
        <v>NO</v>
      </c>
      <c r="M138" t="str">
        <f t="shared" ca="1" si="9"/>
        <v>insert into Customers values ('cust-126', 'Other', 'Delma Mata', '161 Hoffman Place', 'CENTRAL', 'HIGH', null, 'NO');</v>
      </c>
    </row>
    <row r="139" spans="1:13" x14ac:dyDescent="0.25">
      <c r="A139" s="1" t="s">
        <v>4727</v>
      </c>
      <c r="B139" s="1" t="str">
        <f t="shared" ca="1" si="10"/>
        <v>Other</v>
      </c>
      <c r="C139" t="str">
        <f ca="1">IF(B139 = "Male", r_fname_m(), IF(B139 = "Female", r_fname_f(), r_choice($N$1:$N$10)))&amp; " " &amp; r_lname()</f>
        <v>Else Langford</v>
      </c>
      <c r="D139" t="str">
        <f ca="1">r_integer(0,300)&amp; " " &amp; r_lname()&amp; " "&amp; r_choice($O$1:$O$6)</f>
        <v>57 Payton Avenue</v>
      </c>
      <c r="E139" t="str">
        <f t="shared" ca="1" si="11"/>
        <v>NORTH</v>
      </c>
      <c r="F139" t="str">
        <f t="shared" ca="1" si="13"/>
        <v>MED</v>
      </c>
      <c r="G139" s="1" t="s">
        <v>4939</v>
      </c>
      <c r="H139" t="str">
        <f t="shared" ca="1" si="12"/>
        <v>YES</v>
      </c>
      <c r="M139" t="str">
        <f t="shared" ca="1" si="9"/>
        <v>insert into Customers values ('cust-127', 'Other', 'Delma Maguire', '156 Carranza Street', 'NORTH', 'HIGH', 'crd_043', 'NO');</v>
      </c>
    </row>
    <row r="140" spans="1:13" x14ac:dyDescent="0.25">
      <c r="A140" s="1" t="s">
        <v>4728</v>
      </c>
      <c r="B140" s="1" t="str">
        <f t="shared" ca="1" si="10"/>
        <v>Other</v>
      </c>
      <c r="C140" t="str">
        <f ca="1">IF(B140 = "Male", r_fname_m(), IF(B140 = "Female", r_fname_f(), r_choice($N$1:$N$10)))&amp; " " &amp; r_lname()</f>
        <v>Basil Steiner</v>
      </c>
      <c r="D140" t="str">
        <f ca="1">r_integer(0,300)&amp; " " &amp; r_lname()&amp; " "&amp; r_choice($O$1:$O$6)</f>
        <v>168 Vance Place</v>
      </c>
      <c r="E140" t="str">
        <f t="shared" ca="1" si="11"/>
        <v>SOUTH</v>
      </c>
      <c r="F140" t="str">
        <f t="shared" ca="1" si="13"/>
        <v>HIGH</v>
      </c>
      <c r="G140" s="1" t="s">
        <v>4558</v>
      </c>
      <c r="H140" t="str">
        <f t="shared" ca="1" si="12"/>
        <v>YES</v>
      </c>
      <c r="M140" t="str">
        <f t="shared" ca="1" si="9"/>
        <v>insert into Customers values ('cust-128', 'Female', 'Tomi Adams', '145 Esposito Park', 'NORTH', 'LOW', null, 'YES');</v>
      </c>
    </row>
    <row r="141" spans="1:13" x14ac:dyDescent="0.25">
      <c r="A141" s="1" t="s">
        <v>4729</v>
      </c>
      <c r="B141" s="1" t="str">
        <f t="shared" ca="1" si="10"/>
        <v>Other</v>
      </c>
      <c r="C141" t="str">
        <f ca="1">IF(B141 = "Male", r_fname_m(), IF(B141 = "Female", r_fname_f(), r_choice($N$1:$N$10)))&amp; " " &amp; r_lname()</f>
        <v>Else Sizemore</v>
      </c>
      <c r="D141" t="str">
        <f ca="1">r_integer(0,300)&amp; " " &amp; r_lname()&amp; " "&amp; r_choice($O$1:$O$6)</f>
        <v>90 Capuletti Square</v>
      </c>
      <c r="E141" t="str">
        <f t="shared" ca="1" si="11"/>
        <v>EAST</v>
      </c>
      <c r="F141" t="str">
        <f t="shared" ca="1" si="13"/>
        <v>MED</v>
      </c>
      <c r="G141" s="1"/>
      <c r="H141" t="str">
        <f t="shared" ca="1" si="12"/>
        <v>YES</v>
      </c>
      <c r="M141" t="str">
        <f t="shared" ref="M141:M204" ca="1" si="14">insertinto(A130:H130,$S$1:$T$8,"Customers")</f>
        <v>insert into Customers values ('cust-129', 'Female', 'Danielle Mejia', '95 Weil Square', 'EAST', 'HIGH', null, 'YES');</v>
      </c>
    </row>
    <row r="142" spans="1:13" x14ac:dyDescent="0.25">
      <c r="A142" s="1" t="s">
        <v>4730</v>
      </c>
      <c r="B142" s="1" t="str">
        <f t="shared" ca="1" si="10"/>
        <v>Female</v>
      </c>
      <c r="C142" t="str">
        <f ca="1">IF(B142 = "Male", r_fname_m(), IF(B142 = "Female", r_fname_f(), r_choice($N$1:$N$10)))&amp; " " &amp; r_lname()</f>
        <v>Lavinia Mulligan</v>
      </c>
      <c r="D142" t="str">
        <f ca="1">r_integer(0,300)&amp; " " &amp; r_lname()&amp; " "&amp; r_choice($O$1:$O$6)</f>
        <v>267 Combs Square</v>
      </c>
      <c r="E142" t="str">
        <f t="shared" ca="1" si="11"/>
        <v>WEST</v>
      </c>
      <c r="F142" t="str">
        <f t="shared" ca="1" si="13"/>
        <v>HIGH</v>
      </c>
      <c r="G142" s="1"/>
      <c r="H142" t="str">
        <f t="shared" ca="1" si="12"/>
        <v>YES</v>
      </c>
      <c r="M142" t="str">
        <f t="shared" ca="1" si="14"/>
        <v>insert into Customers values ('cust-130', 'Male', 'Michale Hogan', '73 Shafer Square', 'SOUTH', 'LOW', null, 'YES');</v>
      </c>
    </row>
    <row r="143" spans="1:13" x14ac:dyDescent="0.25">
      <c r="A143" s="1" t="s">
        <v>4731</v>
      </c>
      <c r="B143" s="1" t="str">
        <f t="shared" ca="1" si="10"/>
        <v>Other</v>
      </c>
      <c r="C143" t="str">
        <f ca="1">IF(B143 = "Male", r_fname_m(), IF(B143 = "Female", r_fname_f(), r_choice($N$1:$N$10)))&amp; " " &amp; r_lname()</f>
        <v>Douglas McNamara</v>
      </c>
      <c r="D143" t="str">
        <f ca="1">r_integer(0,300)&amp; " " &amp; r_lname()&amp; " "&amp; r_choice($O$1:$O$6)</f>
        <v>73 Reece Square</v>
      </c>
      <c r="E143" t="str">
        <f t="shared" ca="1" si="11"/>
        <v>CENTRAL</v>
      </c>
      <c r="F143" t="str">
        <f t="shared" ca="1" si="13"/>
        <v>VIP</v>
      </c>
      <c r="G143" s="1"/>
      <c r="H143" t="str">
        <f t="shared" ca="1" si="12"/>
        <v>YES</v>
      </c>
      <c r="M143" t="str">
        <f t="shared" ca="1" si="14"/>
        <v>insert into Customers values ('cust-131', 'Female', 'Ivette Watkins', '147 Elkins Park', 'SOUTH', 'MED', null, 'YES');</v>
      </c>
    </row>
    <row r="144" spans="1:13" x14ac:dyDescent="0.25">
      <c r="A144" s="1" t="s">
        <v>4732</v>
      </c>
      <c r="B144" s="1" t="str">
        <f t="shared" ca="1" si="10"/>
        <v>Male</v>
      </c>
      <c r="C144" t="str">
        <f ca="1">IF(B144 = "Male", r_fname_m(), IF(B144 = "Female", r_fname_f(), r_choice($N$1:$N$10)))&amp; " " &amp; r_lname()</f>
        <v>Gus Hoskins</v>
      </c>
      <c r="D144" t="str">
        <f ca="1">r_integer(0,300)&amp; " " &amp; r_lname()&amp; " "&amp; r_choice($O$1:$O$6)</f>
        <v>209 Blackburn Avenue</v>
      </c>
      <c r="E144" t="str">
        <f t="shared" ca="1" si="11"/>
        <v>WEST</v>
      </c>
      <c r="F144" t="str">
        <f t="shared" ca="1" si="13"/>
        <v>VIP</v>
      </c>
      <c r="G144" s="1"/>
      <c r="H144" t="str">
        <f t="shared" ca="1" si="12"/>
        <v>YES</v>
      </c>
      <c r="M144" t="str">
        <f t="shared" ca="1" si="14"/>
        <v>insert into Customers values ('cust-132', 'Other', 'Ardis Morales', '9 Feldenkreis Place', 'SOUTH', 'VIP', 'crd_068', 'YES');</v>
      </c>
    </row>
    <row r="145" spans="1:13" x14ac:dyDescent="0.25">
      <c r="A145" s="1" t="s">
        <v>4733</v>
      </c>
      <c r="B145" s="1" t="str">
        <f t="shared" ca="1" si="10"/>
        <v>Male</v>
      </c>
      <c r="C145" t="str">
        <f ca="1">IF(B145 = "Male", r_fname_m(), IF(B145 = "Female", r_fname_f(), r_choice($N$1:$N$10)))&amp; " " &amp; r_lname()</f>
        <v>Trey Ponce</v>
      </c>
      <c r="D145" t="str">
        <f ca="1">r_integer(0,300)&amp; " " &amp; r_lname()&amp; " "&amp; r_choice($O$1:$O$6)</f>
        <v>181 Ivey Park</v>
      </c>
      <c r="E145" t="str">
        <f t="shared" ca="1" si="11"/>
        <v>WEST</v>
      </c>
      <c r="F145" t="str">
        <f t="shared" ca="1" si="13"/>
        <v>HIGH</v>
      </c>
      <c r="G145" s="1"/>
      <c r="H145" t="str">
        <f t="shared" ca="1" si="12"/>
        <v>YES</v>
      </c>
      <c r="M145" t="str">
        <f t="shared" ca="1" si="14"/>
        <v>insert into Customers values ('cust-133', 'Male', 'Oswaldo Spangler', '245 Chin Park', 'SOUTH', 'MED', 'crd_038', 'YES');</v>
      </c>
    </row>
    <row r="146" spans="1:13" x14ac:dyDescent="0.25">
      <c r="A146" s="1" t="s">
        <v>4734</v>
      </c>
      <c r="B146" s="1" t="str">
        <f t="shared" ca="1" si="10"/>
        <v>Other</v>
      </c>
      <c r="C146" t="str">
        <f ca="1">IF(B146 = "Male", r_fname_m(), IF(B146 = "Female", r_fname_f(), r_choice($N$1:$N$10)))&amp; " " &amp; r_lname()</f>
        <v>Ali Connors</v>
      </c>
      <c r="D146" t="str">
        <f ca="1">r_integer(0,300)&amp; " " &amp; r_lname()&amp; " "&amp; r_choice($O$1:$O$6)</f>
        <v>225 Oconnor Park</v>
      </c>
      <c r="E146" t="str">
        <f t="shared" ca="1" si="11"/>
        <v>SOUTH</v>
      </c>
      <c r="F146" t="str">
        <f t="shared" ca="1" si="13"/>
        <v>MED</v>
      </c>
      <c r="G146" s="1"/>
      <c r="H146" t="str">
        <f t="shared" ca="1" si="12"/>
        <v>NO</v>
      </c>
      <c r="M146" t="str">
        <f t="shared" ca="1" si="14"/>
        <v>insert into Customers values ('cust-134', 'Female', 'Bertha Beneton', '223 Frank Avenue', 'NORTH', 'MED', null, 'NO');</v>
      </c>
    </row>
    <row r="147" spans="1:13" x14ac:dyDescent="0.25">
      <c r="A147" s="1" t="s">
        <v>4735</v>
      </c>
      <c r="B147" s="1" t="str">
        <f t="shared" ca="1" si="10"/>
        <v>Female</v>
      </c>
      <c r="C147" t="str">
        <f ca="1">IF(B147 = "Male", r_fname_m(), IF(B147 = "Female", r_fname_f(), r_choice($N$1:$N$10)))&amp; " " &amp; r_lname()</f>
        <v>Tisa Yu</v>
      </c>
      <c r="D147" t="str">
        <f ca="1">r_integer(0,300)&amp; " " &amp; r_lname()&amp; " "&amp; r_choice($O$1:$O$6)</f>
        <v>264 Rembrandt Lane</v>
      </c>
      <c r="E147" t="str">
        <f t="shared" ca="1" si="11"/>
        <v>SOUTH</v>
      </c>
      <c r="F147" t="str">
        <f t="shared" ca="1" si="13"/>
        <v>VIP</v>
      </c>
      <c r="G147" s="1"/>
      <c r="H147" t="str">
        <f t="shared" ca="1" si="12"/>
        <v>NO</v>
      </c>
      <c r="M147" t="str">
        <f t="shared" ca="1" si="14"/>
        <v>insert into Customers values ('cust-135', 'Female', 'Deonna Ware', '76 Shea Street', 'WEST', 'MED', null, 'YES');</v>
      </c>
    </row>
    <row r="148" spans="1:13" x14ac:dyDescent="0.25">
      <c r="A148" s="1" t="s">
        <v>4736</v>
      </c>
      <c r="B148" s="1" t="str">
        <f t="shared" ca="1" si="10"/>
        <v>Male</v>
      </c>
      <c r="C148" t="str">
        <f ca="1">IF(B148 = "Male", r_fname_m(), IF(B148 = "Female", r_fname_f(), r_choice($N$1:$N$10)))&amp; " " &amp; r_lname()</f>
        <v>Chico Alexander</v>
      </c>
      <c r="D148" t="str">
        <f ca="1">r_integer(0,300)&amp; " " &amp; r_lname()&amp; " "&amp; r_choice($O$1:$O$6)</f>
        <v>261 Benoit Avenue</v>
      </c>
      <c r="E148" t="str">
        <f t="shared" ca="1" si="11"/>
        <v>WEST</v>
      </c>
      <c r="F148" t="str">
        <f t="shared" ca="1" si="13"/>
        <v>MED</v>
      </c>
      <c r="G148" s="1"/>
      <c r="H148" t="str">
        <f t="shared" ca="1" si="12"/>
        <v>NO</v>
      </c>
      <c r="M148" t="str">
        <f t="shared" ca="1" si="14"/>
        <v>insert into Customers values ('cust-136', 'Other', 'Rosaura Frye', '71 Rowe Place', 'NORTH', 'VIP', 'crd_064', 'YES');</v>
      </c>
    </row>
    <row r="149" spans="1:13" x14ac:dyDescent="0.25">
      <c r="A149" s="1" t="s">
        <v>4737</v>
      </c>
      <c r="B149" s="1" t="str">
        <f t="shared" ca="1" si="10"/>
        <v>Other</v>
      </c>
      <c r="C149" t="str">
        <f ca="1">IF(B149 = "Male", r_fname_m(), IF(B149 = "Female", r_fname_f(), r_choice($N$1:$N$10)))&amp; " " &amp; r_lname()</f>
        <v>Else Ford</v>
      </c>
      <c r="D149" t="str">
        <f ca="1">r_integer(0,300)&amp; " " &amp; r_lname()&amp; " "&amp; r_choice($O$1:$O$6)</f>
        <v>115 Simpson Street</v>
      </c>
      <c r="E149" t="str">
        <f t="shared" ca="1" si="11"/>
        <v>SOUTH</v>
      </c>
      <c r="F149" t="str">
        <f t="shared" ca="1" si="13"/>
        <v>MED</v>
      </c>
      <c r="G149" s="1" t="s">
        <v>4562</v>
      </c>
      <c r="H149" t="str">
        <f t="shared" ca="1" si="12"/>
        <v>NO</v>
      </c>
      <c r="M149" t="str">
        <f t="shared" ca="1" si="14"/>
        <v>insert into Customers values ('cust-137', 'Female', 'Olive Downs', '95 Drake Avenue', 'CENTRAL', 'LOW', 'crd_074', 'NO');</v>
      </c>
    </row>
    <row r="150" spans="1:13" x14ac:dyDescent="0.25">
      <c r="A150" s="1" t="s">
        <v>4738</v>
      </c>
      <c r="B150" s="1" t="str">
        <f t="shared" ca="1" si="10"/>
        <v>Female</v>
      </c>
      <c r="C150" t="str">
        <f ca="1">IF(B150 = "Male", r_fname_m(), IF(B150 = "Female", r_fname_f(), r_choice($N$1:$N$10)))&amp; " " &amp; r_lname()</f>
        <v>Evangeline Rocha</v>
      </c>
      <c r="D150" t="str">
        <f ca="1">r_integer(0,300)&amp; " " &amp; r_lname()&amp; " "&amp; r_choice($O$1:$O$6)</f>
        <v>187 Ivey Place</v>
      </c>
      <c r="E150" t="str">
        <f t="shared" ca="1" si="11"/>
        <v>EAST</v>
      </c>
      <c r="F150" t="str">
        <f t="shared" ca="1" si="13"/>
        <v>LOW</v>
      </c>
      <c r="G150" s="1"/>
      <c r="H150" t="str">
        <f t="shared" ca="1" si="12"/>
        <v>YES</v>
      </c>
      <c r="M150" t="str">
        <f t="shared" ca="1" si="14"/>
        <v>insert into Customers values ('cust-138', 'Other', 'Else Langford', '57 Payton Avenue', 'NORTH', 'MED', 'crd_067', 'YES');</v>
      </c>
    </row>
    <row r="151" spans="1:13" x14ac:dyDescent="0.25">
      <c r="A151" s="1" t="s">
        <v>4739</v>
      </c>
      <c r="B151" s="1" t="str">
        <f t="shared" ca="1" si="10"/>
        <v>Other</v>
      </c>
      <c r="C151" t="str">
        <f ca="1">IF(B151 = "Male", r_fname_m(), IF(B151 = "Female", r_fname_f(), r_choice($N$1:$N$10)))&amp; " " &amp; r_lname()</f>
        <v>Rosaura Evans</v>
      </c>
      <c r="D151" t="str">
        <f ca="1">r_integer(0,300)&amp; " " &amp; r_lname()&amp; " "&amp; r_choice($O$1:$O$6)</f>
        <v>165 Rooney Place</v>
      </c>
      <c r="E151" t="str">
        <f t="shared" ca="1" si="11"/>
        <v>SOUTH</v>
      </c>
      <c r="F151" t="str">
        <f t="shared" ca="1" si="13"/>
        <v>HIGH</v>
      </c>
      <c r="G151" s="1"/>
      <c r="H151" t="str">
        <f t="shared" ca="1" si="12"/>
        <v>NO</v>
      </c>
      <c r="M151" t="str">
        <f t="shared" ca="1" si="14"/>
        <v>insert into Customers values ('cust-139', 'Other', 'Basil Steiner', '168 Vance Place', 'SOUTH', 'HIGH', 'crd_018', 'YES');</v>
      </c>
    </row>
    <row r="152" spans="1:13" x14ac:dyDescent="0.25">
      <c r="A152" s="1" t="s">
        <v>4740</v>
      </c>
      <c r="B152" s="1" t="str">
        <f t="shared" ca="1" si="10"/>
        <v>Other</v>
      </c>
      <c r="C152" t="str">
        <f ca="1">IF(B152 = "Male", r_fname_m(), IF(B152 = "Female", r_fname_f(), r_choice($N$1:$N$10)))&amp; " " &amp; r_lname()</f>
        <v>Delma Eno</v>
      </c>
      <c r="D152" t="str">
        <f ca="1">r_integer(0,300)&amp; " " &amp; r_lname()&amp; " "&amp; r_choice($O$1:$O$6)</f>
        <v>49 Pedersen Square</v>
      </c>
      <c r="E152" t="str">
        <f t="shared" ca="1" si="11"/>
        <v>WEST</v>
      </c>
      <c r="F152" t="str">
        <f t="shared" ca="1" si="13"/>
        <v>VIP</v>
      </c>
      <c r="G152" s="1" t="s">
        <v>4540</v>
      </c>
      <c r="H152" t="str">
        <f t="shared" ca="1" si="12"/>
        <v>NO</v>
      </c>
      <c r="M152" t="str">
        <f t="shared" ca="1" si="14"/>
        <v>insert into Customers values ('cust-140', 'Other', 'Else Sizemore', '90 Capuletti Square', 'EAST', 'MED', null, 'YES');</v>
      </c>
    </row>
    <row r="153" spans="1:13" x14ac:dyDescent="0.25">
      <c r="A153" s="1" t="s">
        <v>4741</v>
      </c>
      <c r="B153" s="1" t="str">
        <f t="shared" ca="1" si="10"/>
        <v>Other</v>
      </c>
      <c r="C153" t="str">
        <f ca="1">IF(B153 = "Male", r_fname_m(), IF(B153 = "Female", r_fname_f(), r_choice($N$1:$N$10)))&amp; " " &amp; r_lname()</f>
        <v>Rosaura Weaver</v>
      </c>
      <c r="D153" t="str">
        <f ca="1">r_integer(0,300)&amp; " " &amp; r_lname()&amp; " "&amp; r_choice($O$1:$O$6)</f>
        <v>225 Toth Avenue</v>
      </c>
      <c r="E153" t="str">
        <f t="shared" ca="1" si="11"/>
        <v>NORTH</v>
      </c>
      <c r="F153" t="str">
        <f t="shared" ca="1" si="13"/>
        <v>LOW</v>
      </c>
      <c r="G153" s="1"/>
      <c r="H153" t="str">
        <f t="shared" ca="1" si="12"/>
        <v>YES</v>
      </c>
      <c r="M153" t="str">
        <f t="shared" ca="1" si="14"/>
        <v>insert into Customers values ('cust-141', 'Female', 'Lavinia Mulligan', '267 Combs Square', 'WEST', 'HIGH', null, 'YES');</v>
      </c>
    </row>
    <row r="154" spans="1:13" x14ac:dyDescent="0.25">
      <c r="A154" s="1" t="s">
        <v>4742</v>
      </c>
      <c r="B154" s="1" t="str">
        <f t="shared" ca="1" si="10"/>
        <v>Female</v>
      </c>
      <c r="C154" t="str">
        <f ca="1">IF(B154 = "Male", r_fname_m(), IF(B154 = "Female", r_fname_f(), r_choice($N$1:$N$10)))&amp; " " &amp; r_lname()</f>
        <v>Phylis Huang</v>
      </c>
      <c r="D154" t="str">
        <f ca="1">r_integer(0,300)&amp; " " &amp; r_lname()&amp; " "&amp; r_choice($O$1:$O$6)</f>
        <v>130 Mayo Avenue</v>
      </c>
      <c r="E154" t="str">
        <f t="shared" ca="1" si="11"/>
        <v>SOUTH</v>
      </c>
      <c r="F154" t="str">
        <f t="shared" ca="1" si="13"/>
        <v>VIP</v>
      </c>
      <c r="G154" s="1"/>
      <c r="H154" t="str">
        <f t="shared" ca="1" si="12"/>
        <v>YES</v>
      </c>
      <c r="M154" t="str">
        <f t="shared" ca="1" si="14"/>
        <v>insert into Customers values ('cust-142', 'Other', 'Douglas McNamara', '73 Reece Square', 'CENTRAL', 'VIP', null, 'YES');</v>
      </c>
    </row>
    <row r="155" spans="1:13" x14ac:dyDescent="0.25">
      <c r="A155" s="1" t="s">
        <v>4743</v>
      </c>
      <c r="B155" s="1" t="str">
        <f t="shared" ca="1" si="10"/>
        <v>Male</v>
      </c>
      <c r="C155" t="str">
        <f ca="1">IF(B155 = "Male", r_fname_m(), IF(B155 = "Female", r_fname_f(), r_choice($N$1:$N$10)))&amp; " " &amp; r_lname()</f>
        <v>Matthew Becerra</v>
      </c>
      <c r="D155" t="str">
        <f ca="1">r_integer(0,300)&amp; " " &amp; r_lname()&amp; " "&amp; r_choice($O$1:$O$6)</f>
        <v>19 Williams Place</v>
      </c>
      <c r="E155" t="str">
        <f t="shared" ca="1" si="11"/>
        <v>EAST</v>
      </c>
      <c r="F155" t="str">
        <f t="shared" ca="1" si="13"/>
        <v>VIP</v>
      </c>
      <c r="G155" s="1" t="s">
        <v>4949</v>
      </c>
      <c r="H155" t="str">
        <f t="shared" ca="1" si="12"/>
        <v>NO</v>
      </c>
      <c r="M155" t="str">
        <f t="shared" ca="1" si="14"/>
        <v>insert into Customers values ('cust-143', 'Male', 'Gus Hoskins', '209 Blackburn Avenue', 'WEST', 'VIP', null, 'YES');</v>
      </c>
    </row>
    <row r="156" spans="1:13" x14ac:dyDescent="0.25">
      <c r="A156" s="1" t="s">
        <v>4744</v>
      </c>
      <c r="B156" s="1" t="str">
        <f t="shared" ca="1" si="10"/>
        <v>Other</v>
      </c>
      <c r="C156" t="str">
        <f ca="1">IF(B156 = "Male", r_fname_m(), IF(B156 = "Female", r_fname_f(), r_choice($N$1:$N$10)))&amp; " " &amp; r_lname()</f>
        <v>Rosaura Grady</v>
      </c>
      <c r="D156" t="str">
        <f ca="1">r_integer(0,300)&amp; " " &amp; r_lname()&amp; " "&amp; r_choice($O$1:$O$6)</f>
        <v>275 Blake Street</v>
      </c>
      <c r="E156" t="str">
        <f t="shared" ca="1" si="11"/>
        <v>CENTRAL</v>
      </c>
      <c r="F156" t="str">
        <f t="shared" ca="1" si="13"/>
        <v>LOW</v>
      </c>
      <c r="G156" s="1"/>
      <c r="H156" t="str">
        <f t="shared" ca="1" si="12"/>
        <v>NO</v>
      </c>
      <c r="M156" t="str">
        <f t="shared" ca="1" si="14"/>
        <v>insert into Customers values ('cust-144', 'Male', 'Trey Ponce', '181 Ivey Park', 'WEST', 'HIGH', null, 'YES');</v>
      </c>
    </row>
    <row r="157" spans="1:13" x14ac:dyDescent="0.25">
      <c r="A157" s="1" t="s">
        <v>4745</v>
      </c>
      <c r="B157" s="1" t="str">
        <f t="shared" ca="1" si="10"/>
        <v>Female</v>
      </c>
      <c r="C157" t="str">
        <f ca="1">IF(B157 = "Male", r_fname_m(), IF(B157 = "Female", r_fname_f(), r_choice($N$1:$N$10)))&amp; " " &amp; r_lname()</f>
        <v>June Whaley</v>
      </c>
      <c r="D157" t="str">
        <f ca="1">r_integer(0,300)&amp; " " &amp; r_lname()&amp; " "&amp; r_choice($O$1:$O$6)</f>
        <v>163 Ferrell Lane</v>
      </c>
      <c r="E157" t="str">
        <f t="shared" ca="1" si="11"/>
        <v>NORTH</v>
      </c>
      <c r="F157" t="str">
        <f t="shared" ca="1" si="13"/>
        <v>MED</v>
      </c>
      <c r="G157" s="1"/>
      <c r="H157" t="str">
        <f t="shared" ca="1" si="12"/>
        <v>YES</v>
      </c>
      <c r="M157" t="str">
        <f t="shared" ca="1" si="14"/>
        <v>insert into Customers values ('cust-145', 'Other', 'Ali Connors', '225 Oconnor Park', 'SOUTH', 'MED', null, 'NO');</v>
      </c>
    </row>
    <row r="158" spans="1:13" x14ac:dyDescent="0.25">
      <c r="A158" s="1" t="s">
        <v>4746</v>
      </c>
      <c r="B158" s="1" t="str">
        <f t="shared" ca="1" si="10"/>
        <v>Female</v>
      </c>
      <c r="C158" t="str">
        <f ca="1">IF(B158 = "Male", r_fname_m(), IF(B158 = "Female", r_fname_f(), r_choice($N$1:$N$10)))&amp; " " &amp; r_lname()</f>
        <v>Audria Rolling</v>
      </c>
      <c r="D158" t="str">
        <f ca="1">r_integer(0,300)&amp; " " &amp; r_lname()&amp; " "&amp; r_choice($O$1:$O$6)</f>
        <v>119 Batiste Avenue</v>
      </c>
      <c r="E158" t="str">
        <f t="shared" ca="1" si="11"/>
        <v>NORTH</v>
      </c>
      <c r="F158" t="str">
        <f t="shared" ca="1" si="13"/>
        <v>VIP</v>
      </c>
      <c r="G158" s="1"/>
      <c r="H158" t="str">
        <f t="shared" ca="1" si="12"/>
        <v>NO</v>
      </c>
      <c r="M158" t="str">
        <f t="shared" ca="1" si="14"/>
        <v>insert into Customers values ('cust-146', 'Female', 'Tisa Yu', '264 Rembrandt Lane', 'SOUTH', 'VIP', null, 'NO');</v>
      </c>
    </row>
    <row r="159" spans="1:13" x14ac:dyDescent="0.25">
      <c r="A159" s="1" t="s">
        <v>4747</v>
      </c>
      <c r="B159" s="1" t="str">
        <f t="shared" ca="1" si="10"/>
        <v>Other</v>
      </c>
      <c r="C159" t="str">
        <f ca="1">IF(B159 = "Male", r_fname_m(), IF(B159 = "Female", r_fname_f(), r_choice($N$1:$N$10)))&amp; " " &amp; r_lname()</f>
        <v>Novella Wynn</v>
      </c>
      <c r="D159" t="str">
        <f ca="1">r_integer(0,300)&amp; " " &amp; r_lname()&amp; " "&amp; r_choice($O$1:$O$6)</f>
        <v>33 Harrington Square</v>
      </c>
      <c r="E159" t="str">
        <f t="shared" ca="1" si="11"/>
        <v>SOUTH</v>
      </c>
      <c r="F159" t="str">
        <f t="shared" ca="1" si="13"/>
        <v>LOW</v>
      </c>
      <c r="G159" s="1" t="s">
        <v>4565</v>
      </c>
      <c r="H159" t="str">
        <f t="shared" ca="1" si="12"/>
        <v>NO</v>
      </c>
      <c r="M159" t="str">
        <f t="shared" ca="1" si="14"/>
        <v>insert into Customers values ('cust-147', 'Male', 'Chico Alexander', '261 Benoit Avenue', 'WEST', 'MED', null, 'NO');</v>
      </c>
    </row>
    <row r="160" spans="1:13" x14ac:dyDescent="0.25">
      <c r="A160" s="1" t="s">
        <v>4748</v>
      </c>
      <c r="B160" s="1" t="str">
        <f t="shared" ca="1" si="10"/>
        <v>Other</v>
      </c>
      <c r="C160" t="str">
        <f ca="1">IF(B160 = "Male", r_fname_m(), IF(B160 = "Female", r_fname_f(), r_choice($N$1:$N$10)))&amp; " " &amp; r_lname()</f>
        <v>Ardis Groves</v>
      </c>
      <c r="D160" t="str">
        <f ca="1">r_integer(0,300)&amp; " " &amp; r_lname()&amp; " "&amp; r_choice($O$1:$O$6)</f>
        <v>235 Burbaki Place</v>
      </c>
      <c r="E160" t="str">
        <f t="shared" ca="1" si="11"/>
        <v>CENTRAL</v>
      </c>
      <c r="F160" t="str">
        <f t="shared" ca="1" si="13"/>
        <v>VIP</v>
      </c>
      <c r="G160" s="1" t="s">
        <v>4956</v>
      </c>
      <c r="H160" t="str">
        <f t="shared" ca="1" si="12"/>
        <v>NO</v>
      </c>
      <c r="M160" t="str">
        <f t="shared" ca="1" si="14"/>
        <v>insert into Customers values ('cust-148', 'Other', 'Else Ford', '115 Simpson Street', 'SOUTH', 'MED', 'crd_022', 'NO');</v>
      </c>
    </row>
    <row r="161" spans="1:13" x14ac:dyDescent="0.25">
      <c r="A161" s="1" t="s">
        <v>4749</v>
      </c>
      <c r="B161" s="1" t="str">
        <f t="shared" ca="1" si="10"/>
        <v>Other</v>
      </c>
      <c r="C161" t="str">
        <f ca="1">IF(B161 = "Male", r_fname_m(), IF(B161 = "Female", r_fname_f(), r_choice($N$1:$N$10)))&amp; " " &amp; r_lname()</f>
        <v>Olive Caldwell</v>
      </c>
      <c r="D161" t="str">
        <f ca="1">r_integer(0,300)&amp; " " &amp; r_lname()&amp; " "&amp; r_choice($O$1:$O$6)</f>
        <v>62 Sanders Square</v>
      </c>
      <c r="E161" t="str">
        <f t="shared" ca="1" si="11"/>
        <v>SOUTH</v>
      </c>
      <c r="F161" t="str">
        <f t="shared" ca="1" si="13"/>
        <v>VIP</v>
      </c>
      <c r="G161" s="1"/>
      <c r="H161" t="str">
        <f t="shared" ca="1" si="12"/>
        <v>YES</v>
      </c>
      <c r="M161" t="str">
        <f t="shared" ca="1" si="14"/>
        <v>insert into Customers values ('cust-149', 'Female', 'Evangeline Rocha', '187 Ivey Place', 'EAST', 'LOW', null, 'YES');</v>
      </c>
    </row>
    <row r="162" spans="1:13" x14ac:dyDescent="0.25">
      <c r="A162" s="1" t="s">
        <v>4750</v>
      </c>
      <c r="B162" s="1" t="str">
        <f t="shared" ca="1" si="10"/>
        <v>Male</v>
      </c>
      <c r="C162" t="str">
        <f ca="1">IF(B162 = "Male", r_fname_m(), IF(B162 = "Female", r_fname_f(), r_choice($N$1:$N$10)))&amp; " " &amp; r_lname()</f>
        <v>Gary Contreras</v>
      </c>
      <c r="D162" t="str">
        <f ca="1">r_integer(0,300)&amp; " " &amp; r_lname()&amp; " "&amp; r_choice($O$1:$O$6)</f>
        <v>212 Silvers Park</v>
      </c>
      <c r="E162" t="str">
        <f t="shared" ca="1" si="11"/>
        <v>NORTH</v>
      </c>
      <c r="F162" t="str">
        <f t="shared" ca="1" si="13"/>
        <v>VIP</v>
      </c>
      <c r="G162" s="1" t="s">
        <v>4933</v>
      </c>
      <c r="H162" t="str">
        <f t="shared" ca="1" si="12"/>
        <v>YES</v>
      </c>
      <c r="M162" t="str">
        <f t="shared" ca="1" si="14"/>
        <v>insert into Customers values ('cust-150', 'Other', 'Rosaura Evans', '165 Rooney Place', 'SOUTH', 'HIGH', null, 'NO');</v>
      </c>
    </row>
    <row r="163" spans="1:13" x14ac:dyDescent="0.25">
      <c r="A163" s="1" t="s">
        <v>4751</v>
      </c>
      <c r="B163" s="1" t="str">
        <f t="shared" ca="1" si="10"/>
        <v>Other</v>
      </c>
      <c r="C163" t="str">
        <f ca="1">IF(B163 = "Male", r_fname_m(), IF(B163 = "Female", r_fname_f(), r_choice($N$1:$N$10)))&amp; " " &amp; r_lname()</f>
        <v>Douglas Proctor</v>
      </c>
      <c r="D163" t="str">
        <f ca="1">r_integer(0,300)&amp; " " &amp; r_lname()&amp; " "&amp; r_choice($O$1:$O$6)</f>
        <v>40 Bravo Square</v>
      </c>
      <c r="E163" t="str">
        <f t="shared" ca="1" si="11"/>
        <v>NORTH</v>
      </c>
      <c r="F163" t="str">
        <f t="shared" ca="1" si="13"/>
        <v>LOW</v>
      </c>
      <c r="G163" s="1" t="s">
        <v>4574</v>
      </c>
      <c r="H163" t="str">
        <f t="shared" ca="1" si="12"/>
        <v>NO</v>
      </c>
      <c r="M163" t="str">
        <f t="shared" ca="1" si="14"/>
        <v>insert into Customers values ('cust-151', 'Other', 'Delma Eno', '49 Pedersen Square', 'WEST', 'VIP', 'crd_001', 'NO');</v>
      </c>
    </row>
    <row r="164" spans="1:13" x14ac:dyDescent="0.25">
      <c r="A164" s="1" t="s">
        <v>4752</v>
      </c>
      <c r="B164" s="1" t="str">
        <f t="shared" ca="1" si="10"/>
        <v>Female</v>
      </c>
      <c r="C164" t="str">
        <f ca="1">IF(B164 = "Male", r_fname_m(), IF(B164 = "Female", r_fname_f(), r_choice($N$1:$N$10)))&amp; " " &amp; r_lname()</f>
        <v>Hailey Hager</v>
      </c>
      <c r="D164" t="str">
        <f ca="1">r_integer(0,300)&amp; " " &amp; r_lname()&amp; " "&amp; r_choice($O$1:$O$6)</f>
        <v>222 Angel Lane</v>
      </c>
      <c r="E164" t="str">
        <f t="shared" ca="1" si="11"/>
        <v>NORTH</v>
      </c>
      <c r="F164" t="str">
        <f t="shared" ca="1" si="13"/>
        <v>VIP</v>
      </c>
      <c r="G164" s="1"/>
      <c r="H164" t="str">
        <f t="shared" ca="1" si="12"/>
        <v>NO</v>
      </c>
      <c r="M164" t="str">
        <f t="shared" ca="1" si="14"/>
        <v>insert into Customers values ('cust-152', 'Other', 'Rosaura Weaver', '225 Toth Avenue', 'NORTH', 'LOW', null, 'YES');</v>
      </c>
    </row>
    <row r="165" spans="1:13" x14ac:dyDescent="0.25">
      <c r="A165" s="1" t="s">
        <v>4753</v>
      </c>
      <c r="B165" s="1" t="str">
        <f t="shared" ca="1" si="10"/>
        <v>Male</v>
      </c>
      <c r="C165" t="str">
        <f ca="1">IF(B165 = "Male", r_fname_m(), IF(B165 = "Female", r_fname_f(), r_choice($N$1:$N$10)))&amp; " " &amp; r_lname()</f>
        <v>Jason Liszt</v>
      </c>
      <c r="D165" t="str">
        <f ca="1">r_integer(0,300)&amp; " " &amp; r_lname()&amp; " "&amp; r_choice($O$1:$O$6)</f>
        <v>126 Dominico Place</v>
      </c>
      <c r="E165" t="str">
        <f t="shared" ca="1" si="11"/>
        <v>CENTRAL</v>
      </c>
      <c r="F165" t="str">
        <f t="shared" ca="1" si="13"/>
        <v>HIGH</v>
      </c>
      <c r="G165" s="1"/>
      <c r="H165" t="str">
        <f t="shared" ca="1" si="12"/>
        <v>YES</v>
      </c>
      <c r="M165" t="str">
        <f t="shared" ca="1" si="14"/>
        <v>insert into Customers values ('cust-153', 'Female', 'Phylis Huang', '130 Mayo Avenue', 'SOUTH', 'VIP', null, 'YES');</v>
      </c>
    </row>
    <row r="166" spans="1:13" x14ac:dyDescent="0.25">
      <c r="A166" s="1" t="s">
        <v>4754</v>
      </c>
      <c r="B166" s="1" t="str">
        <f t="shared" ca="1" si="10"/>
        <v>Female</v>
      </c>
      <c r="C166" t="str">
        <f ca="1">IF(B166 = "Male", r_fname_m(), IF(B166 = "Female", r_fname_f(), r_choice($N$1:$N$10)))&amp; " " &amp; r_lname()</f>
        <v>Kimberlee Donovan</v>
      </c>
      <c r="D166" t="str">
        <f ca="1">r_integer(0,300)&amp; " " &amp; r_lname()&amp; " "&amp; r_choice($O$1:$O$6)</f>
        <v>96 Sinclair Lane</v>
      </c>
      <c r="E166" t="str">
        <f t="shared" ca="1" si="11"/>
        <v>NORTH</v>
      </c>
      <c r="F166" t="str">
        <f t="shared" ca="1" si="13"/>
        <v>VIP</v>
      </c>
      <c r="G166" s="1" t="s">
        <v>4943</v>
      </c>
      <c r="H166" t="str">
        <f t="shared" ca="1" si="12"/>
        <v>YES</v>
      </c>
      <c r="M166" t="str">
        <f t="shared" ca="1" si="14"/>
        <v>insert into Customers values ('cust-154', 'Male', 'Matthew Becerra', '19 Williams Place', 'EAST', 'VIP', 'crd_077', 'NO');</v>
      </c>
    </row>
    <row r="167" spans="1:13" x14ac:dyDescent="0.25">
      <c r="A167" s="1" t="s">
        <v>4755</v>
      </c>
      <c r="B167" s="1" t="str">
        <f t="shared" ca="1" si="10"/>
        <v>Female</v>
      </c>
      <c r="C167" t="str">
        <f ca="1">IF(B167 = "Male", r_fname_m(), IF(B167 = "Female", r_fname_f(), r_choice($N$1:$N$10)))&amp; " " &amp; r_lname()</f>
        <v>Jeannette McBeal</v>
      </c>
      <c r="D167" t="str">
        <f ca="1">r_integer(0,300)&amp; " " &amp; r_lname()&amp; " "&amp; r_choice($O$1:$O$6)</f>
        <v>65 Bergman Street</v>
      </c>
      <c r="E167" t="str">
        <f t="shared" ca="1" si="11"/>
        <v>EAST</v>
      </c>
      <c r="F167" t="str">
        <f t="shared" ca="1" si="13"/>
        <v>VIP</v>
      </c>
      <c r="G167" s="1"/>
      <c r="H167" t="str">
        <f t="shared" ca="1" si="12"/>
        <v>NO</v>
      </c>
      <c r="M167" t="str">
        <f t="shared" ca="1" si="14"/>
        <v>insert into Customers values ('cust-155', 'Other', 'Rosaura Grady', '275 Blake Street', 'CENTRAL', 'LOW', null, 'NO');</v>
      </c>
    </row>
    <row r="168" spans="1:13" x14ac:dyDescent="0.25">
      <c r="A168" s="1" t="s">
        <v>4756</v>
      </c>
      <c r="B168" s="1" t="str">
        <f t="shared" ca="1" si="10"/>
        <v>Male</v>
      </c>
      <c r="C168" t="str">
        <f ca="1">IF(B168 = "Male", r_fname_m(), IF(B168 = "Female", r_fname_f(), r_choice($N$1:$N$10)))&amp; " " &amp; r_lname()</f>
        <v>Chandler Soto</v>
      </c>
      <c r="D168" t="str">
        <f ca="1">r_integer(0,300)&amp; " " &amp; r_lname()&amp; " "&amp; r_choice($O$1:$O$6)</f>
        <v>127 Flanagan Avenue</v>
      </c>
      <c r="E168" t="str">
        <f t="shared" ca="1" si="11"/>
        <v>CENTRAL</v>
      </c>
      <c r="F168" t="str">
        <f t="shared" ca="1" si="13"/>
        <v>HIGH</v>
      </c>
      <c r="G168" s="1" t="s">
        <v>4957</v>
      </c>
      <c r="H168" t="str">
        <f t="shared" ca="1" si="12"/>
        <v>YES</v>
      </c>
      <c r="M168" t="str">
        <f t="shared" ca="1" si="14"/>
        <v>insert into Customers values ('cust-156', 'Female', 'June Whaley', '163 Ferrell Lane', 'NORTH', 'MED', null, 'YES');</v>
      </c>
    </row>
    <row r="169" spans="1:13" x14ac:dyDescent="0.25">
      <c r="A169" s="1" t="s">
        <v>4757</v>
      </c>
      <c r="B169" s="1" t="str">
        <f t="shared" ca="1" si="10"/>
        <v>Male</v>
      </c>
      <c r="C169" t="str">
        <f ca="1">IF(B169 = "Male", r_fname_m(), IF(B169 = "Female", r_fname_f(), r_choice($N$1:$N$10)))&amp; " " &amp; r_lname()</f>
        <v>Ray Lord</v>
      </c>
      <c r="D169" t="str">
        <f ca="1">r_integer(0,300)&amp; " " &amp; r_lname()&amp; " "&amp; r_choice($O$1:$O$6)</f>
        <v>105 Robison Park</v>
      </c>
      <c r="E169" t="str">
        <f t="shared" ca="1" si="11"/>
        <v>CENTRAL</v>
      </c>
      <c r="F169" t="str">
        <f t="shared" ca="1" si="13"/>
        <v>MED</v>
      </c>
      <c r="G169" s="1"/>
      <c r="H169" t="str">
        <f t="shared" ca="1" si="12"/>
        <v>YES</v>
      </c>
      <c r="M169" t="str">
        <f t="shared" ca="1" si="14"/>
        <v>insert into Customers values ('cust-157', 'Female', 'Audria Rolling', '119 Batiste Avenue', 'NORTH', 'VIP', null, 'NO');</v>
      </c>
    </row>
    <row r="170" spans="1:13" x14ac:dyDescent="0.25">
      <c r="A170" s="1" t="s">
        <v>4758</v>
      </c>
      <c r="B170" s="1" t="str">
        <f t="shared" ca="1" si="10"/>
        <v>Other</v>
      </c>
      <c r="C170" t="str">
        <f ca="1">IF(B170 = "Male", r_fname_m(), IF(B170 = "Female", r_fname_f(), r_choice($N$1:$N$10)))&amp; " " &amp; r_lname()</f>
        <v>Novella Mora</v>
      </c>
      <c r="D170" t="str">
        <f ca="1">r_integer(0,300)&amp; " " &amp; r_lname()&amp; " "&amp; r_choice($O$1:$O$6)</f>
        <v>155 Beck Lane</v>
      </c>
      <c r="E170" t="str">
        <f t="shared" ca="1" si="11"/>
        <v>EAST</v>
      </c>
      <c r="F170" t="str">
        <f t="shared" ca="1" si="13"/>
        <v>LOW</v>
      </c>
      <c r="G170" s="1" t="s">
        <v>4967</v>
      </c>
      <c r="H170" t="str">
        <f t="shared" ca="1" si="12"/>
        <v>NO</v>
      </c>
      <c r="M170" t="str">
        <f t="shared" ca="1" si="14"/>
        <v>insert into Customers values ('cust-158', 'Other', 'Novella Wynn', '33 Harrington Square', 'SOUTH', 'LOW', 'crd_025', 'NO');</v>
      </c>
    </row>
    <row r="171" spans="1:13" x14ac:dyDescent="0.25">
      <c r="A171" s="1" t="s">
        <v>4759</v>
      </c>
      <c r="B171" s="1" t="str">
        <f t="shared" ca="1" si="10"/>
        <v>Other</v>
      </c>
      <c r="C171" t="str">
        <f ca="1">IF(B171 = "Male", r_fname_m(), IF(B171 = "Female", r_fname_f(), r_choice($N$1:$N$10)))&amp; " " &amp; r_lname()</f>
        <v>Ardis Machado</v>
      </c>
      <c r="D171" t="str">
        <f ca="1">r_integer(0,300)&amp; " " &amp; r_lname()&amp; " "&amp; r_choice($O$1:$O$6)</f>
        <v>57 Liszt Street</v>
      </c>
      <c r="E171" t="str">
        <f t="shared" ca="1" si="11"/>
        <v>SOUTH</v>
      </c>
      <c r="F171" t="str">
        <f t="shared" ca="1" si="13"/>
        <v>HIGH</v>
      </c>
      <c r="G171" s="1"/>
      <c r="H171" t="str">
        <f t="shared" ca="1" si="12"/>
        <v>NO</v>
      </c>
      <c r="M171" t="str">
        <f t="shared" ca="1" si="14"/>
        <v>insert into Customers values ('cust-159', 'Other', 'Ardis Groves', '235 Burbaki Place', 'CENTRAL', 'VIP', 'crd_084', 'NO');</v>
      </c>
    </row>
    <row r="172" spans="1:13" x14ac:dyDescent="0.25">
      <c r="A172" s="1" t="s">
        <v>4760</v>
      </c>
      <c r="B172" s="1" t="str">
        <f t="shared" ca="1" si="10"/>
        <v>Other</v>
      </c>
      <c r="C172" t="str">
        <f ca="1">IF(B172 = "Male", r_fname_m(), IF(B172 = "Female", r_fname_f(), r_choice($N$1:$N$10)))&amp; " " &amp; r_lname()</f>
        <v>Ardis Christian</v>
      </c>
      <c r="D172" t="str">
        <f ca="1">r_integer(0,300)&amp; " " &amp; r_lname()&amp; " "&amp; r_choice($O$1:$O$6)</f>
        <v>197 Bruce Place</v>
      </c>
      <c r="E172" t="str">
        <f t="shared" ca="1" si="11"/>
        <v>EAST</v>
      </c>
      <c r="F172" t="str">
        <f t="shared" ca="1" si="13"/>
        <v>LOW</v>
      </c>
      <c r="G172" s="1"/>
      <c r="H172" t="str">
        <f t="shared" ca="1" si="12"/>
        <v>YES</v>
      </c>
      <c r="M172" t="str">
        <f t="shared" ca="1" si="14"/>
        <v>insert into Customers values ('cust-160', 'Other', 'Olive Caldwell', '62 Sanders Square', 'SOUTH', 'VIP', null, 'YES');</v>
      </c>
    </row>
    <row r="173" spans="1:13" x14ac:dyDescent="0.25">
      <c r="A173" s="1" t="s">
        <v>4761</v>
      </c>
      <c r="B173" s="1" t="str">
        <f t="shared" ca="1" si="10"/>
        <v>Male</v>
      </c>
      <c r="C173" t="str">
        <f ca="1">IF(B173 = "Male", r_fname_m(), IF(B173 = "Female", r_fname_f(), r_choice($N$1:$N$10)))&amp; " " &amp; r_lname()</f>
        <v>Donnie Vang</v>
      </c>
      <c r="D173" t="str">
        <f ca="1">r_integer(0,300)&amp; " " &amp; r_lname()&amp; " "&amp; r_choice($O$1:$O$6)</f>
        <v>296 Shah Street</v>
      </c>
      <c r="E173" t="str">
        <f t="shared" ca="1" si="11"/>
        <v>CENTRAL</v>
      </c>
      <c r="F173" t="str">
        <f t="shared" ca="1" si="13"/>
        <v>VIP</v>
      </c>
      <c r="G173" s="1"/>
      <c r="H173" t="str">
        <f t="shared" ca="1" si="12"/>
        <v>YES</v>
      </c>
      <c r="M173" t="str">
        <f t="shared" ca="1" si="14"/>
        <v>insert into Customers values ('cust-161', 'Male', 'Gary Contreras', '212 Silvers Park', 'NORTH', 'VIP', 'crd_061', 'YES');</v>
      </c>
    </row>
    <row r="174" spans="1:13" x14ac:dyDescent="0.25">
      <c r="A174" s="1" t="s">
        <v>4762</v>
      </c>
      <c r="B174" s="1" t="str">
        <f t="shared" ca="1" si="10"/>
        <v>Male</v>
      </c>
      <c r="C174" t="str">
        <f ca="1">IF(B174 = "Male", r_fname_m(), IF(B174 = "Female", r_fname_f(), r_choice($N$1:$N$10)))&amp; " " &amp; r_lname()</f>
        <v>Harrison Owens</v>
      </c>
      <c r="D174" t="str">
        <f ca="1">r_integer(0,300)&amp; " " &amp; r_lname()&amp; " "&amp; r_choice($O$1:$O$6)</f>
        <v>21 Espinosa Avenue</v>
      </c>
      <c r="E174" t="str">
        <f t="shared" ca="1" si="11"/>
        <v>NORTH</v>
      </c>
      <c r="F174" t="str">
        <f t="shared" ca="1" si="13"/>
        <v>LOW</v>
      </c>
      <c r="G174" s="1"/>
      <c r="H174" t="str">
        <f t="shared" ca="1" si="12"/>
        <v>NO</v>
      </c>
      <c r="M174" t="str">
        <f t="shared" ca="1" si="14"/>
        <v>insert into Customers values ('cust-162', 'Other', 'Douglas Proctor', '40 Bravo Square', 'NORTH', 'LOW', 'crd_034', 'NO');</v>
      </c>
    </row>
    <row r="175" spans="1:13" x14ac:dyDescent="0.25">
      <c r="A175" s="1" t="s">
        <v>4763</v>
      </c>
      <c r="B175" s="1" t="str">
        <f t="shared" ca="1" si="10"/>
        <v>Other</v>
      </c>
      <c r="C175" t="str">
        <f ca="1">IF(B175 = "Male", r_fname_m(), IF(B175 = "Female", r_fname_f(), r_choice($N$1:$N$10)))&amp; " " &amp; r_lname()</f>
        <v>Ali Frey</v>
      </c>
      <c r="D175" t="str">
        <f ca="1">r_integer(0,300)&amp; " " &amp; r_lname()&amp; " "&amp; r_choice($O$1:$O$6)</f>
        <v>93 Tillman Park</v>
      </c>
      <c r="E175" t="str">
        <f t="shared" ca="1" si="11"/>
        <v>NORTH</v>
      </c>
      <c r="F175" t="str">
        <f t="shared" ca="1" si="13"/>
        <v>VIP</v>
      </c>
      <c r="G175" s="1" t="s">
        <v>4547</v>
      </c>
      <c r="H175" t="str">
        <f t="shared" ca="1" si="12"/>
        <v>NO</v>
      </c>
      <c r="M175" t="str">
        <f t="shared" ca="1" si="14"/>
        <v>insert into Customers values ('cust-163', 'Female', 'Hailey Hager', '222 Angel Lane', 'NORTH', 'VIP', null, 'NO');</v>
      </c>
    </row>
    <row r="176" spans="1:13" x14ac:dyDescent="0.25">
      <c r="A176" s="1" t="s">
        <v>4764</v>
      </c>
      <c r="B176" s="1" t="str">
        <f t="shared" ca="1" si="10"/>
        <v>Male</v>
      </c>
      <c r="C176" t="str">
        <f ca="1">IF(B176 = "Male", r_fname_m(), IF(B176 = "Female", r_fname_f(), r_choice($N$1:$N$10)))&amp; " " &amp; r_lname()</f>
        <v>Marlon Farmer</v>
      </c>
      <c r="D176" t="str">
        <f ca="1">r_integer(0,300)&amp; " " &amp; r_lname()&amp; " "&amp; r_choice($O$1:$O$6)</f>
        <v>181 Sneed Park</v>
      </c>
      <c r="E176" t="str">
        <f t="shared" ca="1" si="11"/>
        <v>WEST</v>
      </c>
      <c r="F176" t="str">
        <f t="shared" ca="1" si="13"/>
        <v>MED</v>
      </c>
      <c r="G176" s="1"/>
      <c r="H176" t="str">
        <f t="shared" ca="1" si="12"/>
        <v>YES</v>
      </c>
      <c r="M176" t="str">
        <f t="shared" ca="1" si="14"/>
        <v>insert into Customers values ('cust-164', 'Male', 'Jason Liszt', '126 Dominico Place', 'CENTRAL', 'HIGH', null, 'YES');</v>
      </c>
    </row>
    <row r="177" spans="1:13" x14ac:dyDescent="0.25">
      <c r="A177" s="1" t="s">
        <v>4765</v>
      </c>
      <c r="B177" s="1" t="str">
        <f t="shared" ca="1" si="10"/>
        <v>Female</v>
      </c>
      <c r="C177" t="str">
        <f ca="1">IF(B177 = "Male", r_fname_m(), IF(B177 = "Female", r_fname_f(), r_choice($N$1:$N$10)))&amp; " " &amp; r_lname()</f>
        <v>Ammie Flaherty</v>
      </c>
      <c r="D177" t="str">
        <f ca="1">r_integer(0,300)&amp; " " &amp; r_lname()&amp; " "&amp; r_choice($O$1:$O$6)</f>
        <v>64 Zachary Place</v>
      </c>
      <c r="E177" t="str">
        <f t="shared" ca="1" si="11"/>
        <v>SOUTH</v>
      </c>
      <c r="F177" t="str">
        <f t="shared" ca="1" si="13"/>
        <v>MED</v>
      </c>
      <c r="G177" s="1" t="s">
        <v>4959</v>
      </c>
      <c r="H177" t="str">
        <f t="shared" ca="1" si="12"/>
        <v>YES</v>
      </c>
      <c r="M177" t="str">
        <f t="shared" ca="1" si="14"/>
        <v>insert into Customers values ('cust-165', 'Female', 'Kimberlee Donovan', '96 Sinclair Lane', 'NORTH', 'VIP', 'crd_071', 'YES');</v>
      </c>
    </row>
    <row r="178" spans="1:13" x14ac:dyDescent="0.25">
      <c r="A178" s="1" t="s">
        <v>4766</v>
      </c>
      <c r="B178" s="1" t="str">
        <f t="shared" ca="1" si="10"/>
        <v>Other</v>
      </c>
      <c r="C178" t="str">
        <f ca="1">IF(B178 = "Male", r_fname_m(), IF(B178 = "Female", r_fname_f(), r_choice($N$1:$N$10)))&amp; " " &amp; r_lname()</f>
        <v>Douglas Lugo</v>
      </c>
      <c r="D178" t="str">
        <f ca="1">r_integer(0,300)&amp; " " &amp; r_lname()&amp; " "&amp; r_choice($O$1:$O$6)</f>
        <v>297 Misirlis Square</v>
      </c>
      <c r="E178" t="str">
        <f t="shared" ca="1" si="11"/>
        <v>NORTH</v>
      </c>
      <c r="F178" t="str">
        <f t="shared" ca="1" si="13"/>
        <v>LOW</v>
      </c>
      <c r="G178" s="1" t="s">
        <v>4938</v>
      </c>
      <c r="H178" t="str">
        <f t="shared" ca="1" si="12"/>
        <v>NO</v>
      </c>
      <c r="M178" t="str">
        <f t="shared" ca="1" si="14"/>
        <v>insert into Customers values ('cust-166', 'Female', 'Jeannette McBeal', '65 Bergman Street', 'EAST', 'VIP', null, 'NO');</v>
      </c>
    </row>
    <row r="179" spans="1:13" x14ac:dyDescent="0.25">
      <c r="A179" s="1" t="s">
        <v>4767</v>
      </c>
      <c r="B179" s="1" t="str">
        <f t="shared" ca="1" si="10"/>
        <v>Other</v>
      </c>
      <c r="C179" t="str">
        <f ca="1">IF(B179 = "Male", r_fname_m(), IF(B179 = "Female", r_fname_f(), r_choice($N$1:$N$10)))&amp; " " &amp; r_lname()</f>
        <v>Basil Mccabe</v>
      </c>
      <c r="D179" t="str">
        <f ca="1">r_integer(0,300)&amp; " " &amp; r_lname()&amp; " "&amp; r_choice($O$1:$O$6)</f>
        <v>86 Mcmahon Square</v>
      </c>
      <c r="E179" t="str">
        <f t="shared" ca="1" si="11"/>
        <v>EAST</v>
      </c>
      <c r="F179" t="str">
        <f t="shared" ca="1" si="13"/>
        <v>LOW</v>
      </c>
      <c r="G179" s="1" t="s">
        <v>4561</v>
      </c>
      <c r="H179" t="str">
        <f t="shared" ca="1" si="12"/>
        <v>YES</v>
      </c>
      <c r="M179" t="str">
        <f t="shared" ca="1" si="14"/>
        <v>insert into Customers values ('cust-167', 'Male', 'Chandler Soto', '127 Flanagan Avenue', 'CENTRAL', 'HIGH', 'crd_085', 'YES');</v>
      </c>
    </row>
    <row r="180" spans="1:13" x14ac:dyDescent="0.25">
      <c r="A180" s="1" t="s">
        <v>4768</v>
      </c>
      <c r="B180" s="1" t="str">
        <f t="shared" ca="1" si="10"/>
        <v>Female</v>
      </c>
      <c r="C180" t="str">
        <f ca="1">IF(B180 = "Male", r_fname_m(), IF(B180 = "Female", r_fname_f(), r_choice($N$1:$N$10)))&amp; " " &amp; r_lname()</f>
        <v>Emma Lanceberger</v>
      </c>
      <c r="D180" t="str">
        <f ca="1">r_integer(0,300)&amp; " " &amp; r_lname()&amp; " "&amp; r_choice($O$1:$O$6)</f>
        <v>186 Carey Lane</v>
      </c>
      <c r="E180" t="str">
        <f t="shared" ca="1" si="11"/>
        <v>NORTH</v>
      </c>
      <c r="F180" t="str">
        <f t="shared" ca="1" si="13"/>
        <v>HIGH</v>
      </c>
      <c r="G180" s="1" t="s">
        <v>4934</v>
      </c>
      <c r="H180" t="str">
        <f t="shared" ca="1" si="12"/>
        <v>NO</v>
      </c>
      <c r="M180" t="str">
        <f t="shared" ca="1" si="14"/>
        <v>insert into Customers values ('cust-168', 'Male', 'Ray Lord', '105 Robison Park', 'CENTRAL', 'MED', null, 'YES');</v>
      </c>
    </row>
    <row r="181" spans="1:13" x14ac:dyDescent="0.25">
      <c r="A181" s="1" t="s">
        <v>4769</v>
      </c>
      <c r="B181" s="1" t="str">
        <f t="shared" ca="1" si="10"/>
        <v>Other</v>
      </c>
      <c r="C181" t="str">
        <f ca="1">IF(B181 = "Male", r_fname_m(), IF(B181 = "Female", r_fname_f(), r_choice($N$1:$N$10)))&amp; " " &amp; r_lname()</f>
        <v>Rosaura Beard</v>
      </c>
      <c r="D181" t="str">
        <f ca="1">r_integer(0,300)&amp; " " &amp; r_lname()&amp; " "&amp; r_choice($O$1:$O$6)</f>
        <v>77 Roland Square</v>
      </c>
      <c r="E181" t="str">
        <f t="shared" ca="1" si="11"/>
        <v>NORTH</v>
      </c>
      <c r="F181" t="str">
        <f t="shared" ca="1" si="13"/>
        <v>HIGH</v>
      </c>
      <c r="G181" s="1"/>
      <c r="H181" t="str">
        <f t="shared" ca="1" si="12"/>
        <v>YES</v>
      </c>
      <c r="M181" t="str">
        <f t="shared" ca="1" si="14"/>
        <v>insert into Customers values ('cust-169', 'Other', 'Novella Mora', '155 Beck Lane', 'EAST', 'LOW', 'crd_095', 'NO');</v>
      </c>
    </row>
    <row r="182" spans="1:13" x14ac:dyDescent="0.25">
      <c r="A182" s="1" t="s">
        <v>4770</v>
      </c>
      <c r="B182" s="1" t="str">
        <f t="shared" ca="1" si="10"/>
        <v>Male</v>
      </c>
      <c r="C182" t="str">
        <f ca="1">IF(B182 = "Male", r_fname_m(), IF(B182 = "Female", r_fname_f(), r_choice($N$1:$N$10)))&amp; " " &amp; r_lname()</f>
        <v>Wesley Melvin</v>
      </c>
      <c r="D182" t="str">
        <f ca="1">r_integer(0,300)&amp; " " &amp; r_lname()&amp; " "&amp; r_choice($O$1:$O$6)</f>
        <v>41 Cheng Lane</v>
      </c>
      <c r="E182" t="str">
        <f t="shared" ca="1" si="11"/>
        <v>WEST</v>
      </c>
      <c r="F182" t="str">
        <f t="shared" ca="1" si="13"/>
        <v>VIP</v>
      </c>
      <c r="G182" s="1" t="s">
        <v>4951</v>
      </c>
      <c r="H182" t="str">
        <f t="shared" ca="1" si="12"/>
        <v>NO</v>
      </c>
      <c r="M182" t="str">
        <f t="shared" ca="1" si="14"/>
        <v>insert into Customers values ('cust-170', 'Other', 'Ardis Machado', '57 Liszt Street', 'SOUTH', 'HIGH', null, 'NO');</v>
      </c>
    </row>
    <row r="183" spans="1:13" x14ac:dyDescent="0.25">
      <c r="A183" s="1" t="s">
        <v>4771</v>
      </c>
      <c r="B183" s="1" t="str">
        <f t="shared" ca="1" si="10"/>
        <v>Female</v>
      </c>
      <c r="C183" t="str">
        <f ca="1">IF(B183 = "Male", r_fname_m(), IF(B183 = "Female", r_fname_f(), r_choice($N$1:$N$10)))&amp; " " &amp; r_lname()</f>
        <v>Harriet Schmitz</v>
      </c>
      <c r="D183" t="str">
        <f ca="1">r_integer(0,300)&amp; " " &amp; r_lname()&amp; " "&amp; r_choice($O$1:$O$6)</f>
        <v>53 Hodges Avenue</v>
      </c>
      <c r="E183" t="str">
        <f t="shared" ca="1" si="11"/>
        <v>WEST</v>
      </c>
      <c r="F183" t="str">
        <f t="shared" ca="1" si="13"/>
        <v>MED</v>
      </c>
      <c r="G183" s="1" t="s">
        <v>4947</v>
      </c>
      <c r="H183" t="str">
        <f t="shared" ca="1" si="12"/>
        <v>YES</v>
      </c>
      <c r="M183" t="str">
        <f t="shared" ca="1" si="14"/>
        <v>insert into Customers values ('cust-171', 'Other', 'Ardis Christian', '197 Bruce Place', 'EAST', 'LOW', null, 'YES');</v>
      </c>
    </row>
    <row r="184" spans="1:13" x14ac:dyDescent="0.25">
      <c r="A184" s="1" t="s">
        <v>4772</v>
      </c>
      <c r="B184" s="1" t="str">
        <f t="shared" ca="1" si="10"/>
        <v>Male</v>
      </c>
      <c r="C184" t="str">
        <f ca="1">IF(B184 = "Male", r_fname_m(), IF(B184 = "Female", r_fname_f(), r_choice($N$1:$N$10)))&amp; " " &amp; r_lname()</f>
        <v>Kevin Spielberg</v>
      </c>
      <c r="D184" t="str">
        <f ca="1">r_integer(0,300)&amp; " " &amp; r_lname()&amp; " "&amp; r_choice($O$1:$O$6)</f>
        <v>260 Booth Avenue</v>
      </c>
      <c r="E184" t="str">
        <f t="shared" ca="1" si="11"/>
        <v>SOUTH</v>
      </c>
      <c r="F184" t="str">
        <f t="shared" ca="1" si="13"/>
        <v>LOW</v>
      </c>
      <c r="G184" s="1"/>
      <c r="H184" t="str">
        <f t="shared" ca="1" si="12"/>
        <v>NO</v>
      </c>
      <c r="M184" t="str">
        <f t="shared" ca="1" si="14"/>
        <v>insert into Customers values ('cust-172', 'Male', 'Donnie Vang', '296 Shah Street', 'CENTRAL', 'VIP', null, 'YES');</v>
      </c>
    </row>
    <row r="185" spans="1:13" x14ac:dyDescent="0.25">
      <c r="A185" s="1" t="s">
        <v>4773</v>
      </c>
      <c r="B185" s="1" t="str">
        <f t="shared" ca="1" si="10"/>
        <v>Male</v>
      </c>
      <c r="C185" t="str">
        <f ca="1">IF(B185 = "Male", r_fname_m(), IF(B185 = "Female", r_fname_f(), r_choice($N$1:$N$10)))&amp; " " &amp; r_lname()</f>
        <v>Michal Richards</v>
      </c>
      <c r="D185" t="str">
        <f ca="1">r_integer(0,300)&amp; " " &amp; r_lname()&amp; " "&amp; r_choice($O$1:$O$6)</f>
        <v>153 Dooley Square</v>
      </c>
      <c r="E185" t="str">
        <f t="shared" ca="1" si="11"/>
        <v>EAST</v>
      </c>
      <c r="F185" t="str">
        <f t="shared" ca="1" si="13"/>
        <v>VIP</v>
      </c>
      <c r="G185" s="1"/>
      <c r="H185" t="str">
        <f t="shared" ca="1" si="12"/>
        <v>NO</v>
      </c>
      <c r="M185" t="str">
        <f t="shared" ca="1" si="14"/>
        <v>insert into Customers values ('cust-173', 'Male', 'Harrison Owens', '21 Espinosa Avenue', 'NORTH', 'LOW', null, 'NO');</v>
      </c>
    </row>
    <row r="186" spans="1:13" x14ac:dyDescent="0.25">
      <c r="A186" s="1" t="s">
        <v>4774</v>
      </c>
      <c r="B186" s="1" t="str">
        <f t="shared" ca="1" si="10"/>
        <v>Other</v>
      </c>
      <c r="C186" t="str">
        <f ca="1">IF(B186 = "Male", r_fname_m(), IF(B186 = "Female", r_fname_f(), r_choice($N$1:$N$10)))&amp; " " &amp; r_lname()</f>
        <v>Rosaura Rosenkrantz</v>
      </c>
      <c r="D186" t="str">
        <f ca="1">r_integer(0,300)&amp; " " &amp; r_lname()&amp; " "&amp; r_choice($O$1:$O$6)</f>
        <v>297 Drexel Street</v>
      </c>
      <c r="E186" t="str">
        <f t="shared" ca="1" si="11"/>
        <v>NORTH</v>
      </c>
      <c r="F186" t="str">
        <f t="shared" ca="1" si="13"/>
        <v>HIGH</v>
      </c>
      <c r="G186" s="1"/>
      <c r="H186" t="str">
        <f t="shared" ca="1" si="12"/>
        <v>YES</v>
      </c>
      <c r="M186" t="str">
        <f t="shared" ca="1" si="14"/>
        <v>insert into Customers values ('cust-174', 'Other', 'Ali Frey', '93 Tillman Park', 'NORTH', 'VIP', 'crd_007', 'NO');</v>
      </c>
    </row>
    <row r="187" spans="1:13" x14ac:dyDescent="0.25">
      <c r="A187" s="1" t="s">
        <v>4775</v>
      </c>
      <c r="B187" s="1" t="str">
        <f t="shared" ca="1" si="10"/>
        <v>Female</v>
      </c>
      <c r="C187" t="str">
        <f ca="1">IF(B187 = "Male", r_fname_m(), IF(B187 = "Female", r_fname_f(), r_choice($N$1:$N$10)))&amp; " " &amp; r_lname()</f>
        <v>Terese Draper</v>
      </c>
      <c r="D187" t="str">
        <f ca="1">r_integer(0,300)&amp; " " &amp; r_lname()&amp; " "&amp; r_choice($O$1:$O$6)</f>
        <v>31 Todd Place</v>
      </c>
      <c r="E187" t="str">
        <f t="shared" ca="1" si="11"/>
        <v>NORTH</v>
      </c>
      <c r="F187" t="str">
        <f t="shared" ca="1" si="13"/>
        <v>VIP</v>
      </c>
      <c r="G187" s="1"/>
      <c r="H187" t="str">
        <f t="shared" ca="1" si="12"/>
        <v>YES</v>
      </c>
      <c r="M187" t="str">
        <f t="shared" ca="1" si="14"/>
        <v>insert into Customers values ('cust-175', 'Male', 'Marlon Farmer', '181 Sneed Park', 'WEST', 'MED', null, 'YES');</v>
      </c>
    </row>
    <row r="188" spans="1:13" x14ac:dyDescent="0.25">
      <c r="A188" s="1" t="s">
        <v>4776</v>
      </c>
      <c r="B188" s="1" t="str">
        <f t="shared" ca="1" si="10"/>
        <v>Male</v>
      </c>
      <c r="C188" t="str">
        <f ca="1">IF(B188 = "Male", r_fname_m(), IF(B188 = "Female", r_fname_f(), r_choice($N$1:$N$10)))&amp; " " &amp; r_lname()</f>
        <v>Dana Whitman</v>
      </c>
      <c r="D188" t="str">
        <f ca="1">r_integer(0,300)&amp; " " &amp; r_lname()&amp; " "&amp; r_choice($O$1:$O$6)</f>
        <v>4 Meyers Street</v>
      </c>
      <c r="E188" t="str">
        <f t="shared" ca="1" si="11"/>
        <v>EAST</v>
      </c>
      <c r="F188" t="str">
        <f t="shared" ca="1" si="13"/>
        <v>LOW</v>
      </c>
      <c r="G188" s="1" t="s">
        <v>4970</v>
      </c>
      <c r="H188" t="str">
        <f t="shared" ca="1" si="12"/>
        <v>YES</v>
      </c>
      <c r="M188" t="str">
        <f t="shared" ca="1" si="14"/>
        <v>insert into Customers values ('cust-176', 'Female', 'Ammie Flaherty', '64 Zachary Place', 'SOUTH', 'MED', 'crd_087', 'YES');</v>
      </c>
    </row>
    <row r="189" spans="1:13" x14ac:dyDescent="0.25">
      <c r="A189" s="1" t="s">
        <v>4777</v>
      </c>
      <c r="B189" s="1" t="str">
        <f t="shared" ca="1" si="10"/>
        <v>Male</v>
      </c>
      <c r="C189" t="str">
        <f ca="1">IF(B189 = "Male", r_fname_m(), IF(B189 = "Female", r_fname_f(), r_choice($N$1:$N$10)))&amp; " " &amp; r_lname()</f>
        <v>Giorgio Kaynes</v>
      </c>
      <c r="D189" t="str">
        <f ca="1">r_integer(0,300)&amp; " " &amp; r_lname()&amp; " "&amp; r_choice($O$1:$O$6)</f>
        <v>278 Coon Avenue</v>
      </c>
      <c r="E189" t="str">
        <f t="shared" ca="1" si="11"/>
        <v>SOUTH</v>
      </c>
      <c r="F189" t="str">
        <f t="shared" ca="1" si="13"/>
        <v>MED</v>
      </c>
      <c r="G189" s="1"/>
      <c r="H189" t="str">
        <f t="shared" ca="1" si="12"/>
        <v>YES</v>
      </c>
      <c r="M189" t="str">
        <f t="shared" ca="1" si="14"/>
        <v>insert into Customers values ('cust-177', 'Other', 'Douglas Lugo', '297 Misirlis Square', 'NORTH', 'LOW', 'crd_066', 'NO');</v>
      </c>
    </row>
    <row r="190" spans="1:13" x14ac:dyDescent="0.25">
      <c r="A190" s="1" t="s">
        <v>4778</v>
      </c>
      <c r="B190" s="1" t="str">
        <f t="shared" ca="1" si="10"/>
        <v>Male</v>
      </c>
      <c r="C190" t="str">
        <f ca="1">IF(B190 = "Male", r_fname_m(), IF(B190 = "Female", r_fname_f(), r_choice($N$1:$N$10)))&amp; " " &amp; r_lname()</f>
        <v>Danial Kennedy</v>
      </c>
      <c r="D190" t="str">
        <f ca="1">r_integer(0,300)&amp; " " &amp; r_lname()&amp; " "&amp; r_choice($O$1:$O$6)</f>
        <v>252 Mccabe Park</v>
      </c>
      <c r="E190" t="str">
        <f t="shared" ca="1" si="11"/>
        <v>CENTRAL</v>
      </c>
      <c r="F190" t="str">
        <f t="shared" ca="1" si="13"/>
        <v>LOW</v>
      </c>
      <c r="G190" s="1" t="s">
        <v>4550</v>
      </c>
      <c r="H190" t="str">
        <f t="shared" ca="1" si="12"/>
        <v>NO</v>
      </c>
      <c r="M190" t="str">
        <f t="shared" ca="1" si="14"/>
        <v>insert into Customers values ('cust-178', 'Other', 'Basil Mccabe', '86 Mcmahon Square', 'EAST', 'LOW', 'crd_021', 'YES');</v>
      </c>
    </row>
    <row r="191" spans="1:13" x14ac:dyDescent="0.25">
      <c r="A191" s="1" t="s">
        <v>4779</v>
      </c>
      <c r="B191" s="1" t="str">
        <f t="shared" ca="1" si="10"/>
        <v>Female</v>
      </c>
      <c r="C191" t="str">
        <f ca="1">IF(B191 = "Male", r_fname_m(), IF(B191 = "Female", r_fname_f(), r_choice($N$1:$N$10)))&amp; " " &amp; r_lname()</f>
        <v>Farah Colmer</v>
      </c>
      <c r="D191" t="str">
        <f ca="1">r_integer(0,300)&amp; " " &amp; r_lname()&amp; " "&amp; r_choice($O$1:$O$6)</f>
        <v>62 Whitehead Place</v>
      </c>
      <c r="E191" t="str">
        <f t="shared" ca="1" si="11"/>
        <v>SOUTH</v>
      </c>
      <c r="F191" t="str">
        <f t="shared" ca="1" si="13"/>
        <v>HIGH</v>
      </c>
      <c r="G191" s="1"/>
      <c r="H191" t="str">
        <f t="shared" ca="1" si="12"/>
        <v>NO</v>
      </c>
      <c r="M191" t="str">
        <f t="shared" ca="1" si="14"/>
        <v>insert into Customers values ('cust-179', 'Female', 'Emma Lanceberger', '186 Carey Lane', 'NORTH', 'HIGH', 'crd_062', 'NO');</v>
      </c>
    </row>
    <row r="192" spans="1:13" x14ac:dyDescent="0.25">
      <c r="A192" s="1" t="s">
        <v>4780</v>
      </c>
      <c r="B192" s="1" t="str">
        <f t="shared" ca="1" si="10"/>
        <v>Male</v>
      </c>
      <c r="C192" t="str">
        <f ca="1">IF(B192 = "Male", r_fname_m(), IF(B192 = "Female", r_fname_f(), r_choice($N$1:$N$10)))&amp; " " &amp; r_lname()</f>
        <v>Grady Redmond</v>
      </c>
      <c r="D192" t="str">
        <f ca="1">r_integer(0,300)&amp; " " &amp; r_lname()&amp; " "&amp; r_choice($O$1:$O$6)</f>
        <v>270 Wainwright Avenue</v>
      </c>
      <c r="E192" t="str">
        <f t="shared" ca="1" si="11"/>
        <v>NORTH</v>
      </c>
      <c r="F192" t="str">
        <f t="shared" ca="1" si="13"/>
        <v>VIP</v>
      </c>
      <c r="G192" s="1" t="s">
        <v>4923</v>
      </c>
      <c r="H192" t="str">
        <f t="shared" ca="1" si="12"/>
        <v>YES</v>
      </c>
      <c r="M192" t="str">
        <f t="shared" ca="1" si="14"/>
        <v>insert into Customers values ('cust-180', 'Other', 'Rosaura Beard', '77 Roland Square', 'NORTH', 'HIGH', null, 'YES');</v>
      </c>
    </row>
    <row r="193" spans="1:13" x14ac:dyDescent="0.25">
      <c r="A193" s="1" t="s">
        <v>4781</v>
      </c>
      <c r="B193" s="1" t="str">
        <f t="shared" ca="1" si="10"/>
        <v>Female</v>
      </c>
      <c r="C193" t="str">
        <f ca="1">IF(B193 = "Male", r_fname_m(), IF(B193 = "Female", r_fname_f(), r_choice($N$1:$N$10)))&amp; " " &amp; r_lname()</f>
        <v>Treena Anderson</v>
      </c>
      <c r="D193" t="str">
        <f ca="1">r_integer(0,300)&amp; " " &amp; r_lname()&amp; " "&amp; r_choice($O$1:$O$6)</f>
        <v>129 Phillips Street</v>
      </c>
      <c r="E193" t="str">
        <f t="shared" ca="1" si="11"/>
        <v>EAST</v>
      </c>
      <c r="F193" t="str">
        <f t="shared" ca="1" si="13"/>
        <v>MED</v>
      </c>
      <c r="G193" s="1"/>
      <c r="H193" t="str">
        <f t="shared" ca="1" si="12"/>
        <v>NO</v>
      </c>
      <c r="M193" t="str">
        <f t="shared" ca="1" si="14"/>
        <v>insert into Customers values ('cust-181', 'Male', 'Wesley Melvin', '41 Cheng Lane', 'WEST', 'VIP', 'crd_079', 'NO');</v>
      </c>
    </row>
    <row r="194" spans="1:13" x14ac:dyDescent="0.25">
      <c r="A194" s="1" t="s">
        <v>4782</v>
      </c>
      <c r="B194" s="1" t="str">
        <f t="shared" ref="B194:B257" ca="1" si="15">r_choice($M$1:$M$3)</f>
        <v>Other</v>
      </c>
      <c r="C194" t="str">
        <f ca="1">IF(B194 = "Male", r_fname_m(), IF(B194 = "Female", r_fname_f(), r_choice($N$1:$N$10)))&amp; " " &amp; r_lname()</f>
        <v>Basil Self</v>
      </c>
      <c r="D194" t="str">
        <f ca="1">r_integer(0,300)&amp; " " &amp; r_lname()&amp; " "&amp; r_choice($O$1:$O$6)</f>
        <v>55 Sherwood Square</v>
      </c>
      <c r="E194" t="str">
        <f t="shared" ref="E194:E257" ca="1" si="16">r_choice($P$1:$P$5)</f>
        <v>EAST</v>
      </c>
      <c r="F194" t="str">
        <f t="shared" ca="1" si="13"/>
        <v>LOW</v>
      </c>
      <c r="G194" s="1" t="s">
        <v>4587</v>
      </c>
      <c r="H194" t="str">
        <f t="shared" ref="H194:H257" ca="1" si="17">r_choice($M$5:$M$6)</f>
        <v>YES</v>
      </c>
      <c r="M194" t="str">
        <f t="shared" ca="1" si="14"/>
        <v>insert into Customers values ('cust-182', 'Female', 'Harriet Schmitz', '53 Hodges Avenue', 'WEST', 'MED', 'crd_075', 'YES');</v>
      </c>
    </row>
    <row r="195" spans="1:13" x14ac:dyDescent="0.25">
      <c r="A195" s="1" t="s">
        <v>4783</v>
      </c>
      <c r="B195" s="1" t="str">
        <f t="shared" ca="1" si="15"/>
        <v>Other</v>
      </c>
      <c r="C195" t="str">
        <f ca="1">IF(B195 = "Male", r_fname_m(), IF(B195 = "Female", r_fname_f(), r_choice($N$1:$N$10)))&amp; " " &amp; r_lname()</f>
        <v>Ardis Pena</v>
      </c>
      <c r="D195" t="str">
        <f ca="1">r_integer(0,300)&amp; " " &amp; r_lname()&amp; " "&amp; r_choice($O$1:$O$6)</f>
        <v>129 Caballero Park</v>
      </c>
      <c r="E195" t="str">
        <f t="shared" ca="1" si="16"/>
        <v>SOUTH</v>
      </c>
      <c r="F195" t="str">
        <f t="shared" ref="F195:F258" ca="1" si="18">r_choice($Q$1:$Q$4)</f>
        <v>LOW</v>
      </c>
      <c r="G195" s="1"/>
      <c r="H195" t="str">
        <f t="shared" ca="1" si="17"/>
        <v>YES</v>
      </c>
      <c r="M195" t="str">
        <f t="shared" ca="1" si="14"/>
        <v>insert into Customers values ('cust-183', 'Male', 'Kevin Spielberg', '260 Booth Avenue', 'SOUTH', 'LOW', null, 'NO');</v>
      </c>
    </row>
    <row r="196" spans="1:13" x14ac:dyDescent="0.25">
      <c r="A196" s="1" t="s">
        <v>4784</v>
      </c>
      <c r="B196" s="1" t="str">
        <f t="shared" ca="1" si="15"/>
        <v>Male</v>
      </c>
      <c r="C196" t="str">
        <f ca="1">IF(B196 = "Male", r_fname_m(), IF(B196 = "Female", r_fname_f(), r_choice($N$1:$N$10)))&amp; " " &amp; r_lname()</f>
        <v>Agustin Lowry</v>
      </c>
      <c r="D196" t="str">
        <f ca="1">r_integer(0,300)&amp; " " &amp; r_lname()&amp; " "&amp; r_choice($O$1:$O$6)</f>
        <v>249 Helms Street</v>
      </c>
      <c r="E196" t="str">
        <f t="shared" ca="1" si="16"/>
        <v>EAST</v>
      </c>
      <c r="F196" t="str">
        <f t="shared" ca="1" si="18"/>
        <v>LOW</v>
      </c>
      <c r="G196" s="1"/>
      <c r="H196" t="str">
        <f t="shared" ca="1" si="17"/>
        <v>NO</v>
      </c>
      <c r="M196" t="str">
        <f t="shared" ca="1" si="14"/>
        <v>insert into Customers values ('cust-184', 'Male', 'Michal Richards', '153 Dooley Square', 'EAST', 'VIP', null, 'NO');</v>
      </c>
    </row>
    <row r="197" spans="1:13" x14ac:dyDescent="0.25">
      <c r="A197" s="1" t="s">
        <v>4785</v>
      </c>
      <c r="B197" s="1" t="str">
        <f t="shared" ca="1" si="15"/>
        <v>Male</v>
      </c>
      <c r="C197" t="str">
        <f ca="1">IF(B197 = "Male", r_fname_m(), IF(B197 = "Female", r_fname_f(), r_choice($N$1:$N$10)))&amp; " " &amp; r_lname()</f>
        <v>Rene Caper</v>
      </c>
      <c r="D197" t="str">
        <f ca="1">r_integer(0,300)&amp; " " &amp; r_lname()&amp; " "&amp; r_choice($O$1:$O$6)</f>
        <v>256 Solis Park</v>
      </c>
      <c r="E197" t="str">
        <f t="shared" ca="1" si="16"/>
        <v>CENTRAL</v>
      </c>
      <c r="F197" t="str">
        <f t="shared" ca="1" si="18"/>
        <v>VIP</v>
      </c>
      <c r="G197" s="1" t="s">
        <v>4570</v>
      </c>
      <c r="H197" t="str">
        <f t="shared" ca="1" si="17"/>
        <v>YES</v>
      </c>
      <c r="M197" t="str">
        <f t="shared" ca="1" si="14"/>
        <v>insert into Customers values ('cust-185', 'Other', 'Rosaura Rosenkrantz', '297 Drexel Street', 'NORTH', 'HIGH', null, 'YES');</v>
      </c>
    </row>
    <row r="198" spans="1:13" x14ac:dyDescent="0.25">
      <c r="A198" s="1" t="s">
        <v>4786</v>
      </c>
      <c r="B198" s="1" t="str">
        <f t="shared" ca="1" si="15"/>
        <v>Female</v>
      </c>
      <c r="C198" t="str">
        <f ca="1">IF(B198 = "Male", r_fname_m(), IF(B198 = "Female", r_fname_f(), r_choice($N$1:$N$10)))&amp; " " &amp; r_lname()</f>
        <v>Penni Cronin</v>
      </c>
      <c r="D198" t="str">
        <f ca="1">r_integer(0,300)&amp; " " &amp; r_lname()&amp; " "&amp; r_choice($O$1:$O$6)</f>
        <v>10 Nguyen Square</v>
      </c>
      <c r="E198" t="str">
        <f t="shared" ca="1" si="16"/>
        <v>CENTRAL</v>
      </c>
      <c r="F198" t="str">
        <f t="shared" ca="1" si="18"/>
        <v>MED</v>
      </c>
      <c r="G198" s="1"/>
      <c r="H198" t="str">
        <f t="shared" ca="1" si="17"/>
        <v>NO</v>
      </c>
      <c r="M198" t="str">
        <f t="shared" ca="1" si="14"/>
        <v>insert into Customers values ('cust-186', 'Female', 'Terese Draper', '31 Todd Place', 'NORTH', 'VIP', null, 'YES');</v>
      </c>
    </row>
    <row r="199" spans="1:13" x14ac:dyDescent="0.25">
      <c r="A199" s="1" t="s">
        <v>4787</v>
      </c>
      <c r="B199" s="1" t="str">
        <f t="shared" ca="1" si="15"/>
        <v>Female</v>
      </c>
      <c r="C199" t="str">
        <f ca="1">IF(B199 = "Male", r_fname_m(), IF(B199 = "Female", r_fname_f(), r_choice($N$1:$N$10)))&amp; " " &amp; r_lname()</f>
        <v>Luciana Redmond</v>
      </c>
      <c r="D199" t="str">
        <f ca="1">r_integer(0,300)&amp; " " &amp; r_lname()&amp; " "&amp; r_choice($O$1:$O$6)</f>
        <v>219 Schumacher Square</v>
      </c>
      <c r="E199" t="str">
        <f t="shared" ca="1" si="16"/>
        <v>NORTH</v>
      </c>
      <c r="F199" t="str">
        <f t="shared" ca="1" si="18"/>
        <v>MED</v>
      </c>
      <c r="G199" s="1" t="s">
        <v>4573</v>
      </c>
      <c r="H199" t="str">
        <f t="shared" ca="1" si="17"/>
        <v>NO</v>
      </c>
      <c r="M199" t="str">
        <f t="shared" ca="1" si="14"/>
        <v>insert into Customers values ('cust-187', 'Male', 'Dana Whitman', '4 Meyers Street', 'EAST', 'LOW', 'crd_098', 'YES');</v>
      </c>
    </row>
    <row r="200" spans="1:13" x14ac:dyDescent="0.25">
      <c r="A200" s="1" t="s">
        <v>4788</v>
      </c>
      <c r="B200" s="1" t="str">
        <f t="shared" ca="1" si="15"/>
        <v>Other</v>
      </c>
      <c r="C200" t="str">
        <f ca="1">IF(B200 = "Male", r_fname_m(), IF(B200 = "Female", r_fname_f(), r_choice($N$1:$N$10)))&amp; " " &amp; r_lname()</f>
        <v>Rosaura Pugh</v>
      </c>
      <c r="D200" t="str">
        <f ca="1">r_integer(0,300)&amp; " " &amp; r_lname()&amp; " "&amp; r_choice($O$1:$O$6)</f>
        <v>207 McBeth Place</v>
      </c>
      <c r="E200" t="str">
        <f t="shared" ca="1" si="16"/>
        <v>WEST</v>
      </c>
      <c r="F200" t="str">
        <f t="shared" ca="1" si="18"/>
        <v>MED</v>
      </c>
      <c r="G200" s="1"/>
      <c r="H200" t="str">
        <f t="shared" ca="1" si="17"/>
        <v>YES</v>
      </c>
      <c r="M200" t="str">
        <f t="shared" ca="1" si="14"/>
        <v>insert into Customers values ('cust-188', 'Male', 'Giorgio Kaynes', '278 Coon Avenue', 'SOUTH', 'MED', null, 'YES');</v>
      </c>
    </row>
    <row r="201" spans="1:13" x14ac:dyDescent="0.25">
      <c r="A201" s="1" t="s">
        <v>4789</v>
      </c>
      <c r="B201" s="1" t="str">
        <f t="shared" ca="1" si="15"/>
        <v>Other</v>
      </c>
      <c r="C201" t="str">
        <f ca="1">IF(B201 = "Male", r_fname_m(), IF(B201 = "Female", r_fname_f(), r_choice($N$1:$N$10)))&amp; " " &amp; r_lname()</f>
        <v>Ardis Allen</v>
      </c>
      <c r="D201" t="str">
        <f ca="1">r_integer(0,300)&amp; " " &amp; r_lname()&amp; " "&amp; r_choice($O$1:$O$6)</f>
        <v>206 Segura Square</v>
      </c>
      <c r="E201" t="str">
        <f t="shared" ca="1" si="16"/>
        <v>EAST</v>
      </c>
      <c r="F201" t="str">
        <f t="shared" ca="1" si="18"/>
        <v>MED</v>
      </c>
      <c r="G201" s="1"/>
      <c r="H201" t="str">
        <f t="shared" ca="1" si="17"/>
        <v>NO</v>
      </c>
      <c r="M201" t="str">
        <f t="shared" ca="1" si="14"/>
        <v>insert into Customers values ('cust-189', 'Male', 'Danial Kennedy', '252 Mccabe Park', 'CENTRAL', 'LOW', 'crd_010', 'NO');</v>
      </c>
    </row>
    <row r="202" spans="1:13" x14ac:dyDescent="0.25">
      <c r="A202" s="1" t="s">
        <v>4790</v>
      </c>
      <c r="B202" s="1" t="str">
        <f t="shared" ca="1" si="15"/>
        <v>Male</v>
      </c>
      <c r="C202" t="str">
        <f ca="1">IF(B202 = "Male", r_fname_m(), IF(B202 = "Female", r_fname_f(), r_choice($N$1:$N$10)))&amp; " " &amp; r_lname()</f>
        <v>Nathanial Downey</v>
      </c>
      <c r="D202" t="str">
        <f ca="1">r_integer(0,300)&amp; " " &amp; r_lname()&amp; " "&amp; r_choice($O$1:$O$6)</f>
        <v>77 Wiseman Square</v>
      </c>
      <c r="E202" t="str">
        <f t="shared" ca="1" si="16"/>
        <v>NORTH</v>
      </c>
      <c r="F202" t="str">
        <f t="shared" ca="1" si="18"/>
        <v>MED</v>
      </c>
      <c r="G202" s="1" t="s">
        <v>4925</v>
      </c>
      <c r="H202" t="str">
        <f t="shared" ca="1" si="17"/>
        <v>NO</v>
      </c>
      <c r="M202" t="str">
        <f t="shared" ca="1" si="14"/>
        <v>insert into Customers values ('cust-190', 'Female', 'Farah Colmer', '62 Whitehead Place', 'SOUTH', 'HIGH', null, 'NO');</v>
      </c>
    </row>
    <row r="203" spans="1:13" x14ac:dyDescent="0.25">
      <c r="A203" s="1" t="s">
        <v>4791</v>
      </c>
      <c r="B203" s="1" t="str">
        <f t="shared" ca="1" si="15"/>
        <v>Other</v>
      </c>
      <c r="C203" t="str">
        <f ca="1">IF(B203 = "Male", r_fname_m(), IF(B203 = "Female", r_fname_f(), r_choice($N$1:$N$10)))&amp; " " &amp; r_lname()</f>
        <v>Douglas Curry</v>
      </c>
      <c r="D203" t="str">
        <f ca="1">r_integer(0,300)&amp; " " &amp; r_lname()&amp; " "&amp; r_choice($O$1:$O$6)</f>
        <v>92 Rembrandt Place</v>
      </c>
      <c r="E203" t="str">
        <f t="shared" ca="1" si="16"/>
        <v>SOUTH</v>
      </c>
      <c r="F203" t="str">
        <f t="shared" ca="1" si="18"/>
        <v>HIGH</v>
      </c>
      <c r="G203" s="1"/>
      <c r="H203" t="str">
        <f t="shared" ca="1" si="17"/>
        <v>YES</v>
      </c>
      <c r="M203" t="str">
        <f t="shared" ca="1" si="14"/>
        <v>insert into Customers values ('cust-191', 'Male', 'Grady Redmond', '270 Wainwright Avenue', 'NORTH', 'VIP', 'crd_051', 'YES');</v>
      </c>
    </row>
    <row r="204" spans="1:13" x14ac:dyDescent="0.25">
      <c r="A204" s="1" t="s">
        <v>4792</v>
      </c>
      <c r="B204" s="1" t="str">
        <f t="shared" ca="1" si="15"/>
        <v>Female</v>
      </c>
      <c r="C204" t="str">
        <f ca="1">IF(B204 = "Male", r_fname_m(), IF(B204 = "Female", r_fname_f(), r_choice($N$1:$N$10)))&amp; " " &amp; r_lname()</f>
        <v>Tish Dunn</v>
      </c>
      <c r="D204" t="str">
        <f ca="1">r_integer(0,300)&amp; " " &amp; r_lname()&amp; " "&amp; r_choice($O$1:$O$6)</f>
        <v>135 Wittgenstein Avenue</v>
      </c>
      <c r="E204" t="str">
        <f t="shared" ca="1" si="16"/>
        <v>CENTRAL</v>
      </c>
      <c r="F204" t="str">
        <f t="shared" ca="1" si="18"/>
        <v>MED</v>
      </c>
      <c r="G204" s="1" t="s">
        <v>4922</v>
      </c>
      <c r="H204" t="str">
        <f t="shared" ca="1" si="17"/>
        <v>YES</v>
      </c>
      <c r="M204" t="str">
        <f t="shared" ca="1" si="14"/>
        <v>insert into Customers values ('cust-192', 'Female', 'Treena Anderson', '129 Phillips Street', 'EAST', 'MED', null, 'NO');</v>
      </c>
    </row>
    <row r="205" spans="1:13" x14ac:dyDescent="0.25">
      <c r="A205" s="1" t="s">
        <v>4793</v>
      </c>
      <c r="B205" s="1" t="str">
        <f t="shared" ca="1" si="15"/>
        <v>Female</v>
      </c>
      <c r="C205" t="str">
        <f ca="1">IF(B205 = "Male", r_fname_m(), IF(B205 = "Female", r_fname_f(), r_choice($N$1:$N$10)))&amp; " " &amp; r_lname()</f>
        <v>Nella Sneed</v>
      </c>
      <c r="D205" t="str">
        <f ca="1">r_integer(0,300)&amp; " " &amp; r_lname()&amp; " "&amp; r_choice($O$1:$O$6)</f>
        <v>248 Flynn Lane</v>
      </c>
      <c r="E205" t="str">
        <f t="shared" ca="1" si="16"/>
        <v>EAST</v>
      </c>
      <c r="F205" t="str">
        <f t="shared" ca="1" si="18"/>
        <v>LOW</v>
      </c>
      <c r="G205" s="1" t="s">
        <v>4579</v>
      </c>
      <c r="H205" t="str">
        <f t="shared" ca="1" si="17"/>
        <v>YES</v>
      </c>
      <c r="M205" t="str">
        <f t="shared" ref="M205:M268" ca="1" si="19">insertinto(A194:H194,$S$1:$T$8,"Customers")</f>
        <v>insert into Customers values ('cust-193', 'Other', 'Basil Self', '55 Sherwood Square', 'EAST', 'LOW', 'crd_047', 'YES');</v>
      </c>
    </row>
    <row r="206" spans="1:13" x14ac:dyDescent="0.25">
      <c r="A206" s="1" t="s">
        <v>4794</v>
      </c>
      <c r="B206" s="1" t="str">
        <f t="shared" ca="1" si="15"/>
        <v>Male</v>
      </c>
      <c r="C206" t="str">
        <f ca="1">IF(B206 = "Male", r_fname_m(), IF(B206 = "Female", r_fname_f(), r_choice($N$1:$N$10)))&amp; " " &amp; r_lname()</f>
        <v>Harrison Denison</v>
      </c>
      <c r="D206" t="str">
        <f ca="1">r_integer(0,300)&amp; " " &amp; r_lname()&amp; " "&amp; r_choice($O$1:$O$6)</f>
        <v>208 Guy Avenue</v>
      </c>
      <c r="E206" t="str">
        <f t="shared" ca="1" si="16"/>
        <v>NORTH</v>
      </c>
      <c r="F206" t="str">
        <f t="shared" ca="1" si="18"/>
        <v>MED</v>
      </c>
      <c r="G206" s="1" t="s">
        <v>4963</v>
      </c>
      <c r="H206" t="str">
        <f t="shared" ca="1" si="17"/>
        <v>NO</v>
      </c>
      <c r="M206" t="str">
        <f t="shared" ca="1" si="19"/>
        <v>insert into Customers values ('cust-194', 'Other', 'Ardis Pena', '129 Caballero Park', 'SOUTH', 'LOW', null, 'YES');</v>
      </c>
    </row>
    <row r="207" spans="1:13" x14ac:dyDescent="0.25">
      <c r="A207" s="1" t="s">
        <v>4795</v>
      </c>
      <c r="B207" s="1" t="str">
        <f t="shared" ca="1" si="15"/>
        <v>Other</v>
      </c>
      <c r="C207" t="str">
        <f ca="1">IF(B207 = "Male", r_fname_m(), IF(B207 = "Female", r_fname_f(), r_choice($N$1:$N$10)))&amp; " " &amp; r_lname()</f>
        <v>Ali Costello</v>
      </c>
      <c r="D207" t="str">
        <f ca="1">r_integer(0,300)&amp; " " &amp; r_lname()&amp; " "&amp; r_choice($O$1:$O$6)</f>
        <v>274 Hales Street</v>
      </c>
      <c r="E207" t="str">
        <f t="shared" ca="1" si="16"/>
        <v>WEST</v>
      </c>
      <c r="F207" t="str">
        <f t="shared" ca="1" si="18"/>
        <v>MED</v>
      </c>
      <c r="G207" s="1"/>
      <c r="H207" t="str">
        <f t="shared" ca="1" si="17"/>
        <v>NO</v>
      </c>
      <c r="M207" t="str">
        <f t="shared" ca="1" si="19"/>
        <v>insert into Customers values ('cust-195', 'Male', 'Agustin Lowry', '249 Helms Street', 'EAST', 'LOW', null, 'NO');</v>
      </c>
    </row>
    <row r="208" spans="1:13" x14ac:dyDescent="0.25">
      <c r="A208" s="1" t="s">
        <v>4796</v>
      </c>
      <c r="B208" s="1" t="str">
        <f t="shared" ca="1" si="15"/>
        <v>Male</v>
      </c>
      <c r="C208" t="str">
        <f ca="1">IF(B208 = "Male", r_fname_m(), IF(B208 = "Female", r_fname_f(), r_choice($N$1:$N$10)))&amp; " " &amp; r_lname()</f>
        <v>Jerald Toney</v>
      </c>
      <c r="D208" t="str">
        <f ca="1">r_integer(0,300)&amp; " " &amp; r_lname()&amp; " "&amp; r_choice($O$1:$O$6)</f>
        <v>184 Adair Street</v>
      </c>
      <c r="E208" t="str">
        <f t="shared" ca="1" si="16"/>
        <v>EAST</v>
      </c>
      <c r="F208" t="str">
        <f t="shared" ca="1" si="18"/>
        <v>MED</v>
      </c>
      <c r="G208" s="1"/>
      <c r="H208" t="str">
        <f t="shared" ca="1" si="17"/>
        <v>NO</v>
      </c>
      <c r="M208" t="str">
        <f t="shared" ca="1" si="19"/>
        <v>insert into Customers values ('cust-196', 'Male', 'Rene Caper', '256 Solis Park', 'CENTRAL', 'VIP', 'crd_030', 'YES');</v>
      </c>
    </row>
    <row r="209" spans="1:13" x14ac:dyDescent="0.25">
      <c r="A209" s="1" t="s">
        <v>4797</v>
      </c>
      <c r="B209" s="1" t="str">
        <f t="shared" ca="1" si="15"/>
        <v>Female</v>
      </c>
      <c r="C209" t="str">
        <f ca="1">IF(B209 = "Male", r_fname_m(), IF(B209 = "Female", r_fname_f(), r_choice($N$1:$N$10)))&amp; " " &amp; r_lname()</f>
        <v>Kasha Brennan</v>
      </c>
      <c r="D209" t="str">
        <f ca="1">r_integer(0,300)&amp; " " &amp; r_lname()&amp; " "&amp; r_choice($O$1:$O$6)</f>
        <v>210 Armstrong Avenue</v>
      </c>
      <c r="E209" t="str">
        <f t="shared" ca="1" si="16"/>
        <v>NORTH</v>
      </c>
      <c r="F209" t="str">
        <f t="shared" ca="1" si="18"/>
        <v>LOW</v>
      </c>
      <c r="G209" s="1" t="s">
        <v>4569</v>
      </c>
      <c r="H209" t="str">
        <f t="shared" ca="1" si="17"/>
        <v>NO</v>
      </c>
      <c r="M209" t="str">
        <f t="shared" ca="1" si="19"/>
        <v>insert into Customers values ('cust-197', 'Female', 'Penni Cronin', '10 Nguyen Square', 'CENTRAL', 'MED', null, 'NO');</v>
      </c>
    </row>
    <row r="210" spans="1:13" x14ac:dyDescent="0.25">
      <c r="A210" s="1" t="s">
        <v>4798</v>
      </c>
      <c r="B210" s="1" t="str">
        <f t="shared" ca="1" si="15"/>
        <v>Female</v>
      </c>
      <c r="C210" t="str">
        <f ca="1">IF(B210 = "Male", r_fname_m(), IF(B210 = "Female", r_fname_f(), r_choice($N$1:$N$10)))&amp; " " &amp; r_lname()</f>
        <v>Magaret Kimball</v>
      </c>
      <c r="D210" t="str">
        <f ca="1">r_integer(0,300)&amp; " " &amp; r_lname()&amp; " "&amp; r_choice($O$1:$O$6)</f>
        <v>40 Barker Street</v>
      </c>
      <c r="E210" t="str">
        <f t="shared" ca="1" si="16"/>
        <v>EAST</v>
      </c>
      <c r="F210" t="str">
        <f t="shared" ca="1" si="18"/>
        <v>VIP</v>
      </c>
      <c r="G210" s="1" t="s">
        <v>4960</v>
      </c>
      <c r="H210" t="str">
        <f t="shared" ca="1" si="17"/>
        <v>YES</v>
      </c>
      <c r="M210" t="str">
        <f t="shared" ca="1" si="19"/>
        <v>insert into Customers values ('cust-198', 'Female', 'Luciana Redmond', '219 Schumacher Square', 'NORTH', 'MED', 'crd_033', 'NO');</v>
      </c>
    </row>
    <row r="211" spans="1:13" x14ac:dyDescent="0.25">
      <c r="A211" s="1" t="s">
        <v>4799</v>
      </c>
      <c r="B211" s="1" t="str">
        <f t="shared" ca="1" si="15"/>
        <v>Female</v>
      </c>
      <c r="C211" t="str">
        <f ca="1">IF(B211 = "Male", r_fname_m(), IF(B211 = "Female", r_fname_f(), r_choice($N$1:$N$10)))&amp; " " &amp; r_lname()</f>
        <v>Celeste Andersen</v>
      </c>
      <c r="D211" t="str">
        <f ca="1">r_integer(0,300)&amp; " " &amp; r_lname()&amp; " "&amp; r_choice($O$1:$O$6)</f>
        <v>186 Granados Square</v>
      </c>
      <c r="E211" t="str">
        <f t="shared" ca="1" si="16"/>
        <v>EAST</v>
      </c>
      <c r="F211" t="str">
        <f t="shared" ca="1" si="18"/>
        <v>MED</v>
      </c>
      <c r="G211" s="1"/>
      <c r="H211" t="str">
        <f t="shared" ca="1" si="17"/>
        <v>YES</v>
      </c>
      <c r="M211" t="str">
        <f t="shared" ca="1" si="19"/>
        <v>insert into Customers values ('cust-199', 'Other', 'Rosaura Pugh', '207 McBeth Place', 'WEST', 'MED', null, 'YES');</v>
      </c>
    </row>
    <row r="212" spans="1:13" x14ac:dyDescent="0.25">
      <c r="A212" s="1" t="s">
        <v>4800</v>
      </c>
      <c r="B212" s="1" t="str">
        <f t="shared" ca="1" si="15"/>
        <v>Male</v>
      </c>
      <c r="C212" t="str">
        <f ca="1">IF(B212 = "Male", r_fname_m(), IF(B212 = "Female", r_fname_f(), r_choice($N$1:$N$10)))&amp; " " &amp; r_lname()</f>
        <v>Gerahardt Bowers</v>
      </c>
      <c r="D212" t="str">
        <f ca="1">r_integer(0,300)&amp; " " &amp; r_lname()&amp; " "&amp; r_choice($O$1:$O$6)</f>
        <v>106 Dunham Street</v>
      </c>
      <c r="E212" t="str">
        <f t="shared" ca="1" si="16"/>
        <v>CENTRAL</v>
      </c>
      <c r="F212" t="str">
        <f t="shared" ca="1" si="18"/>
        <v>LOW</v>
      </c>
      <c r="G212" s="1"/>
      <c r="H212" t="str">
        <f t="shared" ca="1" si="17"/>
        <v>NO</v>
      </c>
      <c r="M212" t="str">
        <f t="shared" ca="1" si="19"/>
        <v>insert into Customers values ('cust-200', 'Other', 'Ardis Allen', '206 Segura Square', 'EAST', 'MED', null, 'NO');</v>
      </c>
    </row>
    <row r="213" spans="1:13" x14ac:dyDescent="0.25">
      <c r="A213" s="1" t="s">
        <v>4801</v>
      </c>
      <c r="B213" s="1" t="str">
        <f t="shared" ca="1" si="15"/>
        <v>Other</v>
      </c>
      <c r="C213" t="str">
        <f ca="1">IF(B213 = "Male", r_fname_m(), IF(B213 = "Female", r_fname_f(), r_choice($N$1:$N$10)))&amp; " " &amp; r_lname()</f>
        <v>Novella Cooper</v>
      </c>
      <c r="D213" t="str">
        <f ca="1">r_integer(0,300)&amp; " " &amp; r_lname()&amp; " "&amp; r_choice($O$1:$O$6)</f>
        <v>279 Downing Square</v>
      </c>
      <c r="E213" t="str">
        <f t="shared" ca="1" si="16"/>
        <v>CENTRAL</v>
      </c>
      <c r="F213" t="str">
        <f t="shared" ca="1" si="18"/>
        <v>LOW</v>
      </c>
      <c r="G213" s="1"/>
      <c r="H213" t="str">
        <f t="shared" ca="1" si="17"/>
        <v>YES</v>
      </c>
      <c r="M213" t="str">
        <f t="shared" ca="1" si="19"/>
        <v>insert into Customers values ('cust-201', 'Male', 'Nathanial Downey', '77 Wiseman Square', 'NORTH', 'MED', 'crd_053', 'NO');</v>
      </c>
    </row>
    <row r="214" spans="1:13" x14ac:dyDescent="0.25">
      <c r="A214" s="1" t="s">
        <v>4802</v>
      </c>
      <c r="B214" s="1" t="str">
        <f t="shared" ca="1" si="15"/>
        <v>Female</v>
      </c>
      <c r="C214" t="str">
        <f ca="1">IF(B214 = "Male", r_fname_m(), IF(B214 = "Female", r_fname_f(), r_choice($N$1:$N$10)))&amp; " " &amp; r_lname()</f>
        <v>Ocie Blue</v>
      </c>
      <c r="D214" t="str">
        <f ca="1">r_integer(0,300)&amp; " " &amp; r_lname()&amp; " "&amp; r_choice($O$1:$O$6)</f>
        <v>286 Marschall Lane</v>
      </c>
      <c r="E214" t="str">
        <f t="shared" ca="1" si="16"/>
        <v>CENTRAL</v>
      </c>
      <c r="F214" t="str">
        <f t="shared" ca="1" si="18"/>
        <v>MED</v>
      </c>
      <c r="G214" s="1"/>
      <c r="H214" t="str">
        <f t="shared" ca="1" si="17"/>
        <v>NO</v>
      </c>
      <c r="M214" t="str">
        <f t="shared" ca="1" si="19"/>
        <v>insert into Customers values ('cust-202', 'Other', 'Douglas Curry', '92 Rembrandt Place', 'SOUTH', 'HIGH', null, 'YES');</v>
      </c>
    </row>
    <row r="215" spans="1:13" x14ac:dyDescent="0.25">
      <c r="A215" s="1" t="s">
        <v>4803</v>
      </c>
      <c r="B215" s="1" t="str">
        <f t="shared" ca="1" si="15"/>
        <v>Female</v>
      </c>
      <c r="C215" t="str">
        <f ca="1">IF(B215 = "Male", r_fname_m(), IF(B215 = "Female", r_fname_f(), r_choice($N$1:$N$10)))&amp; " " &amp; r_lname()</f>
        <v>Lakita Willis</v>
      </c>
      <c r="D215" t="str">
        <f ca="1">r_integer(0,300)&amp; " " &amp; r_lname()&amp; " "&amp; r_choice($O$1:$O$6)</f>
        <v>220 Dobbs Place</v>
      </c>
      <c r="E215" t="str">
        <f t="shared" ca="1" si="16"/>
        <v>WEST</v>
      </c>
      <c r="F215" t="str">
        <f t="shared" ca="1" si="18"/>
        <v>MED</v>
      </c>
      <c r="G215" s="1"/>
      <c r="H215" t="str">
        <f t="shared" ca="1" si="17"/>
        <v>YES</v>
      </c>
      <c r="M215" t="str">
        <f t="shared" ca="1" si="19"/>
        <v>insert into Customers values ('cust-203', 'Female', 'Tish Dunn', '135 Wittgenstein Avenue', 'CENTRAL', 'MED', 'crd_050', 'YES');</v>
      </c>
    </row>
    <row r="216" spans="1:13" x14ac:dyDescent="0.25">
      <c r="A216" s="1" t="s">
        <v>4804</v>
      </c>
      <c r="B216" s="1" t="str">
        <f t="shared" ca="1" si="15"/>
        <v>Male</v>
      </c>
      <c r="C216" t="str">
        <f ca="1">IF(B216 = "Male", r_fname_m(), IF(B216 = "Female", r_fname_f(), r_choice($N$1:$N$10)))&amp; " " &amp; r_lname()</f>
        <v>Willian Stokes</v>
      </c>
      <c r="D216" t="str">
        <f ca="1">r_integer(0,300)&amp; " " &amp; r_lname()&amp; " "&amp; r_choice($O$1:$O$6)</f>
        <v>193 Amaya Lane</v>
      </c>
      <c r="E216" t="str">
        <f t="shared" ca="1" si="16"/>
        <v>NORTH</v>
      </c>
      <c r="F216" t="str">
        <f t="shared" ca="1" si="18"/>
        <v>LOW</v>
      </c>
      <c r="G216" s="1"/>
      <c r="H216" t="str">
        <f t="shared" ca="1" si="17"/>
        <v>YES</v>
      </c>
      <c r="M216" t="str">
        <f t="shared" ca="1" si="19"/>
        <v>insert into Customers values ('cust-204', 'Female', 'Nella Sneed', '248 Flynn Lane', 'EAST', 'LOW', 'crd_039', 'YES');</v>
      </c>
    </row>
    <row r="217" spans="1:13" x14ac:dyDescent="0.25">
      <c r="A217" s="1" t="s">
        <v>4805</v>
      </c>
      <c r="B217" s="1" t="str">
        <f t="shared" ca="1" si="15"/>
        <v>Male</v>
      </c>
      <c r="C217" t="str">
        <f ca="1">IF(B217 = "Male", r_fname_m(), IF(B217 = "Female", r_fname_f(), r_choice($N$1:$N$10)))&amp; " " &amp; r_lname()</f>
        <v>Milford Hackett</v>
      </c>
      <c r="D217" t="str">
        <f ca="1">r_integer(0,300)&amp; " " &amp; r_lname()&amp; " "&amp; r_choice($O$1:$O$6)</f>
        <v>281 Cebalos Park</v>
      </c>
      <c r="E217" t="str">
        <f t="shared" ca="1" si="16"/>
        <v>WEST</v>
      </c>
      <c r="F217" t="str">
        <f t="shared" ca="1" si="18"/>
        <v>VIP</v>
      </c>
      <c r="G217" s="1" t="s">
        <v>4566</v>
      </c>
      <c r="H217" t="str">
        <f t="shared" ca="1" si="17"/>
        <v>YES</v>
      </c>
      <c r="M217" t="str">
        <f t="shared" ca="1" si="19"/>
        <v>insert into Customers values ('cust-205', 'Male', 'Harrison Denison', '208 Guy Avenue', 'NORTH', 'MED', 'crd_091', 'NO');</v>
      </c>
    </row>
    <row r="218" spans="1:13" x14ac:dyDescent="0.25">
      <c r="A218" s="1" t="s">
        <v>4806</v>
      </c>
      <c r="B218" s="1" t="str">
        <f t="shared" ca="1" si="15"/>
        <v>Other</v>
      </c>
      <c r="C218" t="str">
        <f ca="1">IF(B218 = "Male", r_fname_m(), IF(B218 = "Female", r_fname_f(), r_choice($N$1:$N$10)))&amp; " " &amp; r_lname()</f>
        <v>Else Poole</v>
      </c>
      <c r="D218" t="str">
        <f ca="1">r_integer(0,300)&amp; " " &amp; r_lname()&amp; " "&amp; r_choice($O$1:$O$6)</f>
        <v>122 Silverstone Avenue</v>
      </c>
      <c r="E218" t="str">
        <f t="shared" ca="1" si="16"/>
        <v>EAST</v>
      </c>
      <c r="F218" t="str">
        <f t="shared" ca="1" si="18"/>
        <v>LOW</v>
      </c>
      <c r="G218" s="1" t="s">
        <v>4965</v>
      </c>
      <c r="H218" t="str">
        <f t="shared" ca="1" si="17"/>
        <v>YES</v>
      </c>
      <c r="M218" t="str">
        <f t="shared" ca="1" si="19"/>
        <v>insert into Customers values ('cust-206', 'Other', 'Ali Costello', '274 Hales Street', 'WEST', 'MED', null, 'NO');</v>
      </c>
    </row>
    <row r="219" spans="1:13" x14ac:dyDescent="0.25">
      <c r="A219" s="1" t="s">
        <v>4807</v>
      </c>
      <c r="B219" s="1" t="str">
        <f t="shared" ca="1" si="15"/>
        <v>Female</v>
      </c>
      <c r="C219" t="str">
        <f ca="1">IF(B219 = "Male", r_fname_m(), IF(B219 = "Female", r_fname_f(), r_choice($N$1:$N$10)))&amp; " " &amp; r_lname()</f>
        <v>Lynna Herron</v>
      </c>
      <c r="D219" t="str">
        <f ca="1">r_integer(0,300)&amp; " " &amp; r_lname()&amp; " "&amp; r_choice($O$1:$O$6)</f>
        <v>23 Hutchison Square</v>
      </c>
      <c r="E219" t="str">
        <f t="shared" ca="1" si="16"/>
        <v>SOUTH</v>
      </c>
      <c r="F219" t="str">
        <f t="shared" ca="1" si="18"/>
        <v>HIGH</v>
      </c>
      <c r="G219" s="1"/>
      <c r="H219" t="str">
        <f t="shared" ca="1" si="17"/>
        <v>NO</v>
      </c>
      <c r="M219" t="str">
        <f t="shared" ca="1" si="19"/>
        <v>insert into Customers values ('cust-207', 'Male', 'Jerald Toney', '184 Adair Street', 'EAST', 'MED', null, 'NO');</v>
      </c>
    </row>
    <row r="220" spans="1:13" x14ac:dyDescent="0.25">
      <c r="A220" s="1" t="s">
        <v>4808</v>
      </c>
      <c r="B220" s="1" t="str">
        <f t="shared" ca="1" si="15"/>
        <v>Female</v>
      </c>
      <c r="C220" t="str">
        <f ca="1">IF(B220 = "Male", r_fname_m(), IF(B220 = "Female", r_fname_f(), r_choice($N$1:$N$10)))&amp; " " &amp; r_lname()</f>
        <v>Lara Jensen</v>
      </c>
      <c r="D220" t="str">
        <f ca="1">r_integer(0,300)&amp; " " &amp; r_lname()&amp; " "&amp; r_choice($O$1:$O$6)</f>
        <v>44 Hunter Park</v>
      </c>
      <c r="E220" t="str">
        <f t="shared" ca="1" si="16"/>
        <v>EAST</v>
      </c>
      <c r="F220" t="str">
        <f t="shared" ca="1" si="18"/>
        <v>LOW</v>
      </c>
      <c r="G220" s="1" t="s">
        <v>4974</v>
      </c>
      <c r="H220" t="str">
        <f t="shared" ca="1" si="17"/>
        <v>NO</v>
      </c>
      <c r="M220" t="str">
        <f t="shared" ca="1" si="19"/>
        <v>insert into Customers values ('cust-208', 'Female', 'Kasha Brennan', '210 Armstrong Avenue', 'NORTH', 'LOW', 'crd_029', 'NO');</v>
      </c>
    </row>
    <row r="221" spans="1:13" x14ac:dyDescent="0.25">
      <c r="A221" s="1" t="s">
        <v>4809</v>
      </c>
      <c r="B221" s="1" t="str">
        <f t="shared" ca="1" si="15"/>
        <v>Male</v>
      </c>
      <c r="C221" t="str">
        <f ca="1">IF(B221 = "Male", r_fname_m(), IF(B221 = "Female", r_fname_f(), r_choice($N$1:$N$10)))&amp; " " &amp; r_lname()</f>
        <v>Ludwig Stieglitz</v>
      </c>
      <c r="D221" t="str">
        <f ca="1">r_integer(0,300)&amp; " " &amp; r_lname()&amp; " "&amp; r_choice($O$1:$O$6)</f>
        <v>37 Tipton Square</v>
      </c>
      <c r="E221" t="str">
        <f t="shared" ca="1" si="16"/>
        <v>NORTH</v>
      </c>
      <c r="F221" t="str">
        <f t="shared" ca="1" si="18"/>
        <v>HIGH</v>
      </c>
      <c r="G221" s="1"/>
      <c r="H221" t="str">
        <f t="shared" ca="1" si="17"/>
        <v>NO</v>
      </c>
      <c r="M221" t="str">
        <f t="shared" ca="1" si="19"/>
        <v>insert into Customers values ('cust-209', 'Female', 'Magaret Kimball', '40 Barker Street', 'EAST', 'VIP', 'crd_088', 'YES');</v>
      </c>
    </row>
    <row r="222" spans="1:13" x14ac:dyDescent="0.25">
      <c r="A222" s="1" t="s">
        <v>4810</v>
      </c>
      <c r="B222" s="1" t="str">
        <f t="shared" ca="1" si="15"/>
        <v>Male</v>
      </c>
      <c r="C222" t="str">
        <f ca="1">IF(B222 = "Male", r_fname_m(), IF(B222 = "Female", r_fname_f(), r_choice($N$1:$N$10)))&amp; " " &amp; r_lname()</f>
        <v>Joseph Gee</v>
      </c>
      <c r="D222" t="str">
        <f ca="1">r_integer(0,300)&amp; " " &amp; r_lname()&amp; " "&amp; r_choice($O$1:$O$6)</f>
        <v>169 Ellison Lane</v>
      </c>
      <c r="E222" t="str">
        <f t="shared" ca="1" si="16"/>
        <v>NORTH</v>
      </c>
      <c r="F222" t="str">
        <f t="shared" ca="1" si="18"/>
        <v>LOW</v>
      </c>
      <c r="G222" s="1"/>
      <c r="H222" t="str">
        <f t="shared" ca="1" si="17"/>
        <v>NO</v>
      </c>
      <c r="M222" t="str">
        <f t="shared" ca="1" si="19"/>
        <v>insert into Customers values ('cust-210', 'Female', 'Celeste Andersen', '186 Granados Square', 'EAST', 'MED', null, 'YES');</v>
      </c>
    </row>
    <row r="223" spans="1:13" x14ac:dyDescent="0.25">
      <c r="A223" s="1" t="s">
        <v>4811</v>
      </c>
      <c r="B223" s="1" t="str">
        <f t="shared" ca="1" si="15"/>
        <v>Female</v>
      </c>
      <c r="C223" t="str">
        <f ca="1">IF(B223 = "Male", r_fname_m(), IF(B223 = "Female", r_fname_f(), r_choice($N$1:$N$10)))&amp; " " &amp; r_lname()</f>
        <v>Veta Bitchum</v>
      </c>
      <c r="D223" t="str">
        <f ca="1">r_integer(0,300)&amp; " " &amp; r_lname()&amp; " "&amp; r_choice($O$1:$O$6)</f>
        <v>96 Duong Square</v>
      </c>
      <c r="E223" t="str">
        <f t="shared" ca="1" si="16"/>
        <v>CENTRAL</v>
      </c>
      <c r="F223" t="str">
        <f t="shared" ca="1" si="18"/>
        <v>LOW</v>
      </c>
      <c r="G223" s="1" t="s">
        <v>4548</v>
      </c>
      <c r="H223" t="str">
        <f t="shared" ca="1" si="17"/>
        <v>YES</v>
      </c>
      <c r="M223" t="str">
        <f t="shared" ca="1" si="19"/>
        <v>insert into Customers values ('cust-211', 'Male', 'Gerahardt Bowers', '106 Dunham Street', 'CENTRAL', 'LOW', null, 'NO');</v>
      </c>
    </row>
    <row r="224" spans="1:13" x14ac:dyDescent="0.25">
      <c r="A224" s="1" t="s">
        <v>4812</v>
      </c>
      <c r="B224" s="1" t="str">
        <f t="shared" ca="1" si="15"/>
        <v>Female</v>
      </c>
      <c r="C224" t="str">
        <f ca="1">IF(B224 = "Male", r_fname_m(), IF(B224 = "Female", r_fname_f(), r_choice($N$1:$N$10)))&amp; " " &amp; r_lname()</f>
        <v>Melba Harden</v>
      </c>
      <c r="D224" t="str">
        <f ca="1">r_integer(0,300)&amp; " " &amp; r_lname()&amp; " "&amp; r_choice($O$1:$O$6)</f>
        <v>130 Stein Avenue</v>
      </c>
      <c r="E224" t="str">
        <f t="shared" ca="1" si="16"/>
        <v>NORTH</v>
      </c>
      <c r="F224" t="str">
        <f t="shared" ca="1" si="18"/>
        <v>MED</v>
      </c>
      <c r="G224" s="1"/>
      <c r="H224" t="str">
        <f t="shared" ca="1" si="17"/>
        <v>NO</v>
      </c>
      <c r="M224" t="str">
        <f t="shared" ca="1" si="19"/>
        <v>insert into Customers values ('cust-212', 'Other', 'Novella Cooper', '279 Downing Square', 'CENTRAL', 'LOW', null, 'YES');</v>
      </c>
    </row>
    <row r="225" spans="1:13" x14ac:dyDescent="0.25">
      <c r="A225" s="1" t="s">
        <v>4813</v>
      </c>
      <c r="B225" s="1" t="str">
        <f t="shared" ca="1" si="15"/>
        <v>Male</v>
      </c>
      <c r="C225" t="str">
        <f ca="1">IF(B225 = "Male", r_fname_m(), IF(B225 = "Female", r_fname_f(), r_choice($N$1:$N$10)))&amp; " " &amp; r_lname()</f>
        <v>Wendell McNamara</v>
      </c>
      <c r="D225" t="str">
        <f ca="1">r_integer(0,300)&amp; " " &amp; r_lname()&amp; " "&amp; r_choice($O$1:$O$6)</f>
        <v>161 Carter Lane</v>
      </c>
      <c r="E225" t="str">
        <f t="shared" ca="1" si="16"/>
        <v>SOUTH</v>
      </c>
      <c r="F225" t="str">
        <f t="shared" ca="1" si="18"/>
        <v>MED</v>
      </c>
      <c r="G225" s="1" t="s">
        <v>4926</v>
      </c>
      <c r="H225" t="str">
        <f t="shared" ca="1" si="17"/>
        <v>NO</v>
      </c>
      <c r="M225" t="str">
        <f t="shared" ca="1" si="19"/>
        <v>insert into Customers values ('cust-213', 'Female', 'Ocie Blue', '286 Marschall Lane', 'CENTRAL', 'MED', null, 'NO');</v>
      </c>
    </row>
    <row r="226" spans="1:13" x14ac:dyDescent="0.25">
      <c r="A226" s="1" t="s">
        <v>4814</v>
      </c>
      <c r="B226" s="1" t="str">
        <f t="shared" ca="1" si="15"/>
        <v>Female</v>
      </c>
      <c r="C226" t="str">
        <f ca="1">IF(B226 = "Male", r_fname_m(), IF(B226 = "Female", r_fname_f(), r_choice($N$1:$N$10)))&amp; " " &amp; r_lname()</f>
        <v>Lavinia Maddox</v>
      </c>
      <c r="D226" t="str">
        <f ca="1">r_integer(0,300)&amp; " " &amp; r_lname()&amp; " "&amp; r_choice($O$1:$O$6)</f>
        <v>262 Kaufman Street</v>
      </c>
      <c r="E226" t="str">
        <f t="shared" ca="1" si="16"/>
        <v>WEST</v>
      </c>
      <c r="F226" t="str">
        <f t="shared" ca="1" si="18"/>
        <v>VIP</v>
      </c>
      <c r="G226" s="1"/>
      <c r="H226" t="str">
        <f t="shared" ca="1" si="17"/>
        <v>YES</v>
      </c>
      <c r="M226" t="str">
        <f t="shared" ca="1" si="19"/>
        <v>insert into Customers values ('cust-214', 'Female', 'Lakita Willis', '220 Dobbs Place', 'WEST', 'MED', null, 'YES');</v>
      </c>
    </row>
    <row r="227" spans="1:13" x14ac:dyDescent="0.25">
      <c r="A227" s="1" t="s">
        <v>4815</v>
      </c>
      <c r="B227" s="1" t="str">
        <f t="shared" ca="1" si="15"/>
        <v>Male</v>
      </c>
      <c r="C227" t="str">
        <f ca="1">IF(B227 = "Male", r_fname_m(), IF(B227 = "Female", r_fname_f(), r_choice($N$1:$N$10)))&amp; " " &amp; r_lname()</f>
        <v>Tuan Minor</v>
      </c>
      <c r="D227" t="str">
        <f ca="1">r_integer(0,300)&amp; " " &amp; r_lname()&amp; " "&amp; r_choice($O$1:$O$6)</f>
        <v>18 Woodruff Place</v>
      </c>
      <c r="E227" t="str">
        <f t="shared" ca="1" si="16"/>
        <v>NORTH</v>
      </c>
      <c r="F227" t="str">
        <f t="shared" ca="1" si="18"/>
        <v>MED</v>
      </c>
      <c r="G227" s="1"/>
      <c r="H227" t="str">
        <f t="shared" ca="1" si="17"/>
        <v>YES</v>
      </c>
      <c r="M227" t="str">
        <f t="shared" ca="1" si="19"/>
        <v>insert into Customers values ('cust-215', 'Male', 'Willian Stokes', '193 Amaya Lane', 'NORTH', 'LOW', null, 'YES');</v>
      </c>
    </row>
    <row r="228" spans="1:13" x14ac:dyDescent="0.25">
      <c r="A228" s="1" t="s">
        <v>4816</v>
      </c>
      <c r="B228" s="1" t="str">
        <f t="shared" ca="1" si="15"/>
        <v>Other</v>
      </c>
      <c r="C228" t="str">
        <f ca="1">IF(B228 = "Male", r_fname_m(), IF(B228 = "Female", r_fname_f(), r_choice($N$1:$N$10)))&amp; " " &amp; r_lname()</f>
        <v>Olive Hirsch</v>
      </c>
      <c r="D228" t="str">
        <f ca="1">r_integer(0,300)&amp; " " &amp; r_lname()&amp; " "&amp; r_choice($O$1:$O$6)</f>
        <v>11 Bennett Park</v>
      </c>
      <c r="E228" t="str">
        <f t="shared" ca="1" si="16"/>
        <v>EAST</v>
      </c>
      <c r="F228" t="str">
        <f t="shared" ca="1" si="18"/>
        <v>MED</v>
      </c>
      <c r="G228" s="1"/>
      <c r="H228" t="str">
        <f t="shared" ca="1" si="17"/>
        <v>YES</v>
      </c>
      <c r="M228" t="str">
        <f t="shared" ca="1" si="19"/>
        <v>insert into Customers values ('cust-216', 'Male', 'Milford Hackett', '281 Cebalos Park', 'WEST', 'VIP', 'crd_026', 'YES');</v>
      </c>
    </row>
    <row r="229" spans="1:13" x14ac:dyDescent="0.25">
      <c r="A229" s="1" t="s">
        <v>4817</v>
      </c>
      <c r="B229" s="1" t="str">
        <f t="shared" ca="1" si="15"/>
        <v>Other</v>
      </c>
      <c r="C229" t="str">
        <f ca="1">IF(B229 = "Male", r_fname_m(), IF(B229 = "Female", r_fname_f(), r_choice($N$1:$N$10)))&amp; " " &amp; r_lname()</f>
        <v>Ali Franks</v>
      </c>
      <c r="D229" t="str">
        <f ca="1">r_integer(0,300)&amp; " " &amp; r_lname()&amp; " "&amp; r_choice($O$1:$O$6)</f>
        <v>101 Mccain Street</v>
      </c>
      <c r="E229" t="str">
        <f t="shared" ca="1" si="16"/>
        <v>SOUTH</v>
      </c>
      <c r="F229" t="str">
        <f t="shared" ca="1" si="18"/>
        <v>VIP</v>
      </c>
      <c r="G229" s="1"/>
      <c r="H229" t="str">
        <f t="shared" ca="1" si="17"/>
        <v>NO</v>
      </c>
      <c r="M229" t="str">
        <f t="shared" ca="1" si="19"/>
        <v>insert into Customers values ('cust-217', 'Other', 'Else Poole', '122 Silverstone Avenue', 'EAST', 'LOW', 'crd_093', 'YES');</v>
      </c>
    </row>
    <row r="230" spans="1:13" x14ac:dyDescent="0.25">
      <c r="A230" s="1" t="s">
        <v>4818</v>
      </c>
      <c r="B230" s="1" t="str">
        <f t="shared" ca="1" si="15"/>
        <v>Other</v>
      </c>
      <c r="C230" t="str">
        <f ca="1">IF(B230 = "Male", r_fname_m(), IF(B230 = "Female", r_fname_f(), r_choice($N$1:$N$10)))&amp; " " &amp; r_lname()</f>
        <v>Novella Ball</v>
      </c>
      <c r="D230" t="str">
        <f ca="1">r_integer(0,300)&amp; " " &amp; r_lname()&amp; " "&amp; r_choice($O$1:$O$6)</f>
        <v>20 Block Place</v>
      </c>
      <c r="E230" t="str">
        <f t="shared" ca="1" si="16"/>
        <v>CENTRAL</v>
      </c>
      <c r="F230" t="str">
        <f t="shared" ca="1" si="18"/>
        <v>VIP</v>
      </c>
      <c r="G230" s="1"/>
      <c r="H230" t="str">
        <f t="shared" ca="1" si="17"/>
        <v>YES</v>
      </c>
      <c r="M230" t="str">
        <f t="shared" ca="1" si="19"/>
        <v>insert into Customers values ('cust-218', 'Female', 'Lynna Herron', '23 Hutchison Square', 'SOUTH', 'HIGH', null, 'NO');</v>
      </c>
    </row>
    <row r="231" spans="1:13" x14ac:dyDescent="0.25">
      <c r="A231" s="1" t="s">
        <v>4819</v>
      </c>
      <c r="B231" s="1" t="str">
        <f t="shared" ca="1" si="15"/>
        <v>Male</v>
      </c>
      <c r="C231" t="str">
        <f ca="1">IF(B231 = "Male", r_fname_m(), IF(B231 = "Female", r_fname_f(), r_choice($N$1:$N$10)))&amp; " " &amp; r_lname()</f>
        <v>Dana Halmos</v>
      </c>
      <c r="D231" t="str">
        <f ca="1">r_integer(0,300)&amp; " " &amp; r_lname()&amp; " "&amp; r_choice($O$1:$O$6)</f>
        <v>259 Mercer Avenue</v>
      </c>
      <c r="E231" t="str">
        <f t="shared" ca="1" si="16"/>
        <v>EAST</v>
      </c>
      <c r="F231" t="str">
        <f t="shared" ca="1" si="18"/>
        <v>LOW</v>
      </c>
      <c r="G231" s="1"/>
      <c r="H231" t="str">
        <f t="shared" ca="1" si="17"/>
        <v>YES</v>
      </c>
      <c r="M231" t="str">
        <f t="shared" ca="1" si="19"/>
        <v>insert into Customers values ('cust-219', 'Female', 'Lara Jensen', '44 Hunter Park', 'EAST', 'LOW', 'crd_100', 'NO');</v>
      </c>
    </row>
    <row r="232" spans="1:13" x14ac:dyDescent="0.25">
      <c r="A232" s="1" t="s">
        <v>4820</v>
      </c>
      <c r="B232" s="1" t="str">
        <f t="shared" ca="1" si="15"/>
        <v>Male</v>
      </c>
      <c r="C232" t="str">
        <f ca="1">IF(B232 = "Male", r_fname_m(), IF(B232 = "Female", r_fname_f(), r_choice($N$1:$N$10)))&amp; " " &amp; r_lname()</f>
        <v>Kraig Latham</v>
      </c>
      <c r="D232" t="str">
        <f ca="1">r_integer(0,300)&amp; " " &amp; r_lname()&amp; " "&amp; r_choice($O$1:$O$6)</f>
        <v>289 Benjamin Avenue</v>
      </c>
      <c r="E232" t="str">
        <f t="shared" ca="1" si="16"/>
        <v>CENTRAL</v>
      </c>
      <c r="F232" t="str">
        <f t="shared" ca="1" si="18"/>
        <v>HIGH</v>
      </c>
      <c r="G232" s="1"/>
      <c r="H232" t="str">
        <f t="shared" ca="1" si="17"/>
        <v>NO</v>
      </c>
      <c r="M232" t="str">
        <f t="shared" ca="1" si="19"/>
        <v>insert into Customers values ('cust-220', 'Male', 'Ludwig Stieglitz', '37 Tipton Square', 'NORTH', 'HIGH', null, 'NO');</v>
      </c>
    </row>
    <row r="233" spans="1:13" x14ac:dyDescent="0.25">
      <c r="A233" s="1" t="s">
        <v>4821</v>
      </c>
      <c r="B233" s="1" t="str">
        <f t="shared" ca="1" si="15"/>
        <v>Female</v>
      </c>
      <c r="C233" t="str">
        <f ca="1">IF(B233 = "Male", r_fname_m(), IF(B233 = "Female", r_fname_f(), r_choice($N$1:$N$10)))&amp; " " &amp; r_lname()</f>
        <v>Kathlene Post</v>
      </c>
      <c r="D233" t="str">
        <f ca="1">r_integer(0,300)&amp; " " &amp; r_lname()&amp; " "&amp; r_choice($O$1:$O$6)</f>
        <v>16 Stahl Park</v>
      </c>
      <c r="E233" t="str">
        <f t="shared" ca="1" si="16"/>
        <v>SOUTH</v>
      </c>
      <c r="F233" t="str">
        <f t="shared" ca="1" si="18"/>
        <v>MED</v>
      </c>
      <c r="G233" s="1" t="s">
        <v>4564</v>
      </c>
      <c r="H233" t="str">
        <f t="shared" ca="1" si="17"/>
        <v>NO</v>
      </c>
      <c r="M233" t="str">
        <f t="shared" ca="1" si="19"/>
        <v>insert into Customers values ('cust-221', 'Male', 'Joseph Gee', '169 Ellison Lane', 'NORTH', 'LOW', null, 'NO');</v>
      </c>
    </row>
    <row r="234" spans="1:13" x14ac:dyDescent="0.25">
      <c r="A234" s="1" t="s">
        <v>4822</v>
      </c>
      <c r="B234" s="1" t="str">
        <f t="shared" ca="1" si="15"/>
        <v>Female</v>
      </c>
      <c r="C234" t="str">
        <f ca="1">IF(B234 = "Male", r_fname_m(), IF(B234 = "Female", r_fname_f(), r_choice($N$1:$N$10)))&amp; " " &amp; r_lname()</f>
        <v>Pauline Westbrook</v>
      </c>
      <c r="D234" t="str">
        <f ca="1">r_integer(0,300)&amp; " " &amp; r_lname()&amp; " "&amp; r_choice($O$1:$O$6)</f>
        <v>26 Hansen Square</v>
      </c>
      <c r="E234" t="str">
        <f t="shared" ca="1" si="16"/>
        <v>CENTRAL</v>
      </c>
      <c r="F234" t="str">
        <f t="shared" ca="1" si="18"/>
        <v>MED</v>
      </c>
      <c r="G234" s="1" t="s">
        <v>4954</v>
      </c>
      <c r="H234" t="str">
        <f t="shared" ca="1" si="17"/>
        <v>NO</v>
      </c>
      <c r="M234" t="str">
        <f t="shared" ca="1" si="19"/>
        <v>insert into Customers values ('cust-222', 'Female', 'Veta Bitchum', '96 Duong Square', 'CENTRAL', 'LOW', 'crd_008', 'YES');</v>
      </c>
    </row>
    <row r="235" spans="1:13" x14ac:dyDescent="0.25">
      <c r="A235" s="1" t="s">
        <v>4823</v>
      </c>
      <c r="B235" s="1" t="str">
        <f t="shared" ca="1" si="15"/>
        <v>Female</v>
      </c>
      <c r="C235" t="str">
        <f ca="1">IF(B235 = "Male", r_fname_m(), IF(B235 = "Female", r_fname_f(), r_choice($N$1:$N$10)))&amp; " " &amp; r_lname()</f>
        <v>Sharyn Corona</v>
      </c>
      <c r="D235" t="str">
        <f ca="1">r_integer(0,300)&amp; " " &amp; r_lname()&amp; " "&amp; r_choice($O$1:$O$6)</f>
        <v>115 Hales Place</v>
      </c>
      <c r="E235" t="str">
        <f t="shared" ca="1" si="16"/>
        <v>EAST</v>
      </c>
      <c r="F235" t="str">
        <f t="shared" ca="1" si="18"/>
        <v>LOW</v>
      </c>
      <c r="G235" s="1"/>
      <c r="H235" t="str">
        <f t="shared" ca="1" si="17"/>
        <v>NO</v>
      </c>
      <c r="M235" t="str">
        <f t="shared" ca="1" si="19"/>
        <v>insert into Customers values ('cust-223', 'Female', 'Melba Harden', '130 Stein Avenue', 'NORTH', 'MED', null, 'NO');</v>
      </c>
    </row>
    <row r="236" spans="1:13" x14ac:dyDescent="0.25">
      <c r="A236" s="1" t="s">
        <v>4824</v>
      </c>
      <c r="B236" s="1" t="str">
        <f t="shared" ca="1" si="15"/>
        <v>Female</v>
      </c>
      <c r="C236" t="str">
        <f ca="1">IF(B236 = "Male", r_fname_m(), IF(B236 = "Female", r_fname_f(), r_choice($N$1:$N$10)))&amp; " " &amp; r_lname()</f>
        <v>Constance Tobin</v>
      </c>
      <c r="D236" t="str">
        <f ca="1">r_integer(0,300)&amp; " " &amp; r_lname()&amp; " "&amp; r_choice($O$1:$O$6)</f>
        <v>176 Dodson Place</v>
      </c>
      <c r="E236" t="str">
        <f t="shared" ca="1" si="16"/>
        <v>WEST</v>
      </c>
      <c r="F236" t="str">
        <f t="shared" ca="1" si="18"/>
        <v>LOW</v>
      </c>
      <c r="G236" s="1"/>
      <c r="H236" t="str">
        <f t="shared" ca="1" si="17"/>
        <v>YES</v>
      </c>
      <c r="M236" t="str">
        <f t="shared" ca="1" si="19"/>
        <v>insert into Customers values ('cust-224', 'Male', 'Wendell McNamara', '161 Carter Lane', 'SOUTH', 'MED', 'crd_054', 'NO');</v>
      </c>
    </row>
    <row r="237" spans="1:13" x14ac:dyDescent="0.25">
      <c r="A237" s="1" t="s">
        <v>4825</v>
      </c>
      <c r="B237" s="1" t="str">
        <f t="shared" ca="1" si="15"/>
        <v>Female</v>
      </c>
      <c r="C237" t="str">
        <f ca="1">IF(B237 = "Male", r_fname_m(), IF(B237 = "Female", r_fname_f(), r_choice($N$1:$N$10)))&amp; " " &amp; r_lname()</f>
        <v>Dana Wilson</v>
      </c>
      <c r="D237" t="str">
        <f ca="1">r_integer(0,300)&amp; " " &amp; r_lname()&amp; " "&amp; r_choice($O$1:$O$6)</f>
        <v>75 Juarez Park</v>
      </c>
      <c r="E237" t="str">
        <f t="shared" ca="1" si="16"/>
        <v>NORTH</v>
      </c>
      <c r="F237" t="str">
        <f t="shared" ca="1" si="18"/>
        <v>VIP</v>
      </c>
      <c r="G237" s="1"/>
      <c r="H237" t="str">
        <f t="shared" ca="1" si="17"/>
        <v>NO</v>
      </c>
      <c r="M237" t="str">
        <f t="shared" ca="1" si="19"/>
        <v>insert into Customers values ('cust-225', 'Female', 'Lavinia Maddox', '262 Kaufman Street', 'WEST', 'VIP', null, 'YES');</v>
      </c>
    </row>
    <row r="238" spans="1:13" x14ac:dyDescent="0.25">
      <c r="A238" s="1" t="s">
        <v>4826</v>
      </c>
      <c r="B238" s="1" t="str">
        <f t="shared" ca="1" si="15"/>
        <v>Female</v>
      </c>
      <c r="C238" t="str">
        <f ca="1">IF(B238 = "Male", r_fname_m(), IF(B238 = "Female", r_fname_f(), r_choice($N$1:$N$10)))&amp; " " &amp; r_lname()</f>
        <v>Justine Dickerson</v>
      </c>
      <c r="D238" t="str">
        <f ca="1">r_integer(0,300)&amp; " " &amp; r_lname()&amp; " "&amp; r_choice($O$1:$O$6)</f>
        <v>59 Castaneda Square</v>
      </c>
      <c r="E238" t="str">
        <f t="shared" ca="1" si="16"/>
        <v>NORTH</v>
      </c>
      <c r="F238" t="str">
        <f t="shared" ca="1" si="18"/>
        <v>VIP</v>
      </c>
      <c r="G238" s="1" t="s">
        <v>4966</v>
      </c>
      <c r="H238" t="str">
        <f t="shared" ca="1" si="17"/>
        <v>NO</v>
      </c>
      <c r="M238" t="str">
        <f t="shared" ca="1" si="19"/>
        <v>insert into Customers values ('cust-226', 'Male', 'Tuan Minor', '18 Woodruff Place', 'NORTH', 'MED', null, 'YES');</v>
      </c>
    </row>
    <row r="239" spans="1:13" x14ac:dyDescent="0.25">
      <c r="A239" s="1" t="s">
        <v>4827</v>
      </c>
      <c r="B239" s="1" t="str">
        <f t="shared" ca="1" si="15"/>
        <v>Other</v>
      </c>
      <c r="C239" t="str">
        <f ca="1">IF(B239 = "Male", r_fname_m(), IF(B239 = "Female", r_fname_f(), r_choice($N$1:$N$10)))&amp; " " &amp; r_lname()</f>
        <v>Ardis Busch</v>
      </c>
      <c r="D239" t="str">
        <f ca="1">r_integer(0,300)&amp; " " &amp; r_lname()&amp; " "&amp; r_choice($O$1:$O$6)</f>
        <v>120 Ortega Park</v>
      </c>
      <c r="E239" t="str">
        <f t="shared" ca="1" si="16"/>
        <v>WEST</v>
      </c>
      <c r="F239" t="str">
        <f t="shared" ca="1" si="18"/>
        <v>MED</v>
      </c>
      <c r="G239" s="1" t="s">
        <v>4958</v>
      </c>
      <c r="H239" t="str">
        <f t="shared" ca="1" si="17"/>
        <v>YES</v>
      </c>
      <c r="M239" t="str">
        <f t="shared" ca="1" si="19"/>
        <v>insert into Customers values ('cust-227', 'Other', 'Olive Hirsch', '11 Bennett Park', 'EAST', 'MED', null, 'YES');</v>
      </c>
    </row>
    <row r="240" spans="1:13" x14ac:dyDescent="0.25">
      <c r="A240" s="1" t="s">
        <v>4828</v>
      </c>
      <c r="B240" s="1" t="str">
        <f t="shared" ca="1" si="15"/>
        <v>Female</v>
      </c>
      <c r="C240" t="str">
        <f ca="1">IF(B240 = "Male", r_fname_m(), IF(B240 = "Female", r_fname_f(), r_choice($N$1:$N$10)))&amp; " " &amp; r_lname()</f>
        <v>Blanch Schmitz</v>
      </c>
      <c r="D240" t="str">
        <f ca="1">r_integer(0,300)&amp; " " &amp; r_lname()&amp; " "&amp; r_choice($O$1:$O$6)</f>
        <v>114 Joseph Lane</v>
      </c>
      <c r="E240" t="str">
        <f t="shared" ca="1" si="16"/>
        <v>NORTH</v>
      </c>
      <c r="F240" t="str">
        <f t="shared" ca="1" si="18"/>
        <v>HIGH</v>
      </c>
      <c r="G240" s="1" t="s">
        <v>4935</v>
      </c>
      <c r="H240" t="str">
        <f t="shared" ca="1" si="17"/>
        <v>NO</v>
      </c>
      <c r="M240" t="str">
        <f t="shared" ca="1" si="19"/>
        <v>insert into Customers values ('cust-228', 'Other', 'Ali Franks', '101 Mccain Street', 'SOUTH', 'VIP', null, 'NO');</v>
      </c>
    </row>
    <row r="241" spans="1:13" x14ac:dyDescent="0.25">
      <c r="A241" s="1" t="s">
        <v>4829</v>
      </c>
      <c r="B241" s="1" t="str">
        <f t="shared" ca="1" si="15"/>
        <v>Female</v>
      </c>
      <c r="C241" t="str">
        <f ca="1">IF(B241 = "Male", r_fname_m(), IF(B241 = "Female", r_fname_f(), r_choice($N$1:$N$10)))&amp; " " &amp; r_lname()</f>
        <v>Lucia Travis</v>
      </c>
      <c r="D241" t="str">
        <f ca="1">r_integer(0,300)&amp; " " &amp; r_lname()&amp; " "&amp; r_choice($O$1:$O$6)</f>
        <v>127 Warren Place</v>
      </c>
      <c r="E241" t="str">
        <f t="shared" ca="1" si="16"/>
        <v>SOUTH</v>
      </c>
      <c r="F241" t="str">
        <f t="shared" ca="1" si="18"/>
        <v>MED</v>
      </c>
      <c r="G241" s="1" t="s">
        <v>4554</v>
      </c>
      <c r="H241" t="str">
        <f t="shared" ca="1" si="17"/>
        <v>YES</v>
      </c>
      <c r="M241" t="str">
        <f t="shared" ca="1" si="19"/>
        <v>insert into Customers values ('cust-229', 'Other', 'Novella Ball', '20 Block Place', 'CENTRAL', 'VIP', null, 'YES');</v>
      </c>
    </row>
    <row r="242" spans="1:13" x14ac:dyDescent="0.25">
      <c r="A242" s="1" t="s">
        <v>4830</v>
      </c>
      <c r="B242" s="1" t="str">
        <f t="shared" ca="1" si="15"/>
        <v>Female</v>
      </c>
      <c r="C242" t="str">
        <f ca="1">IF(B242 = "Male", r_fname_m(), IF(B242 = "Female", r_fname_f(), r_choice($N$1:$N$10)))&amp; " " &amp; r_lname()</f>
        <v>Elisabeta Chung</v>
      </c>
      <c r="D242" t="str">
        <f ca="1">r_integer(0,300)&amp; " " &amp; r_lname()&amp; " "&amp; r_choice($O$1:$O$6)</f>
        <v>281 Carlisle Place</v>
      </c>
      <c r="E242" t="str">
        <f t="shared" ca="1" si="16"/>
        <v>NORTH</v>
      </c>
      <c r="F242" t="str">
        <f t="shared" ca="1" si="18"/>
        <v>MED</v>
      </c>
      <c r="G242" s="1"/>
      <c r="H242" t="str">
        <f t="shared" ca="1" si="17"/>
        <v>NO</v>
      </c>
      <c r="M242" t="str">
        <f t="shared" ca="1" si="19"/>
        <v>insert into Customers values ('cust-230', 'Male', 'Dana Halmos', '259 Mercer Avenue', 'EAST', 'LOW', null, 'YES');</v>
      </c>
    </row>
    <row r="243" spans="1:13" x14ac:dyDescent="0.25">
      <c r="A243" s="1" t="s">
        <v>4831</v>
      </c>
      <c r="B243" s="1" t="str">
        <f t="shared" ca="1" si="15"/>
        <v>Other</v>
      </c>
      <c r="C243" t="str">
        <f ca="1">IF(B243 = "Male", r_fname_m(), IF(B243 = "Female", r_fname_f(), r_choice($N$1:$N$10)))&amp; " " &amp; r_lname()</f>
        <v>Douglas Livingston</v>
      </c>
      <c r="D243" t="str">
        <f ca="1">r_integer(0,300)&amp; " " &amp; r_lname()&amp; " "&amp; r_choice($O$1:$O$6)</f>
        <v>211 Caballero Lane</v>
      </c>
      <c r="E243" t="str">
        <f t="shared" ca="1" si="16"/>
        <v>WEST</v>
      </c>
      <c r="F243" t="str">
        <f t="shared" ca="1" si="18"/>
        <v>VIP</v>
      </c>
      <c r="G243" s="1"/>
      <c r="H243" t="str">
        <f t="shared" ca="1" si="17"/>
        <v>YES</v>
      </c>
      <c r="M243" t="str">
        <f t="shared" ca="1" si="19"/>
        <v>insert into Customers values ('cust-231', 'Male', 'Kraig Latham', '289 Benjamin Avenue', 'CENTRAL', 'HIGH', null, 'NO');</v>
      </c>
    </row>
    <row r="244" spans="1:13" x14ac:dyDescent="0.25">
      <c r="A244" s="1" t="s">
        <v>4832</v>
      </c>
      <c r="B244" s="1" t="str">
        <f t="shared" ca="1" si="15"/>
        <v>Female</v>
      </c>
      <c r="C244" t="str">
        <f ca="1">IF(B244 = "Male", r_fname_m(), IF(B244 = "Female", r_fname_f(), r_choice($N$1:$N$10)))&amp; " " &amp; r_lname()</f>
        <v>Euridice Hodge</v>
      </c>
      <c r="D244" t="str">
        <f ca="1">r_integer(0,300)&amp; " " &amp; r_lname()&amp; " "&amp; r_choice($O$1:$O$6)</f>
        <v>112 Fernandez Avenue</v>
      </c>
      <c r="E244" t="str">
        <f t="shared" ca="1" si="16"/>
        <v>SOUTH</v>
      </c>
      <c r="F244" t="str">
        <f t="shared" ca="1" si="18"/>
        <v>LOW</v>
      </c>
      <c r="G244" s="1"/>
      <c r="H244" t="str">
        <f t="shared" ca="1" si="17"/>
        <v>YES</v>
      </c>
      <c r="M244" t="str">
        <f t="shared" ca="1" si="19"/>
        <v>insert into Customers values ('cust-232', 'Female', 'Kathlene Post', '16 Stahl Park', 'SOUTH', 'MED', 'crd_024', 'NO');</v>
      </c>
    </row>
    <row r="245" spans="1:13" x14ac:dyDescent="0.25">
      <c r="A245" s="1" t="s">
        <v>4833</v>
      </c>
      <c r="B245" s="1" t="str">
        <f t="shared" ca="1" si="15"/>
        <v>Male</v>
      </c>
      <c r="C245" t="str">
        <f ca="1">IF(B245 = "Male", r_fname_m(), IF(B245 = "Female", r_fname_f(), r_choice($N$1:$N$10)))&amp; " " &amp; r_lname()</f>
        <v>Bernt Briggs</v>
      </c>
      <c r="D245" t="str">
        <f ca="1">r_integer(0,300)&amp; " " &amp; r_lname()&amp; " "&amp; r_choice($O$1:$O$6)</f>
        <v>291 Combs Park</v>
      </c>
      <c r="E245" t="str">
        <f t="shared" ca="1" si="16"/>
        <v>EAST</v>
      </c>
      <c r="F245" t="str">
        <f t="shared" ca="1" si="18"/>
        <v>HIGH</v>
      </c>
      <c r="G245" s="1"/>
      <c r="H245" t="str">
        <f t="shared" ca="1" si="17"/>
        <v>NO</v>
      </c>
      <c r="M245" t="str">
        <f t="shared" ca="1" si="19"/>
        <v>insert into Customers values ('cust-233', 'Female', 'Pauline Westbrook', '26 Hansen Square', 'CENTRAL', 'MED', 'crd_082', 'NO');</v>
      </c>
    </row>
    <row r="246" spans="1:13" x14ac:dyDescent="0.25">
      <c r="A246" s="1" t="s">
        <v>4834</v>
      </c>
      <c r="B246" s="1" t="str">
        <f t="shared" ca="1" si="15"/>
        <v>Male</v>
      </c>
      <c r="C246" t="str">
        <f ca="1">IF(B246 = "Male", r_fname_m(), IF(B246 = "Female", r_fname_f(), r_choice($N$1:$N$10)))&amp; " " &amp; r_lname()</f>
        <v>Giuseppe Burris</v>
      </c>
      <c r="D246" t="str">
        <f ca="1">r_integer(0,300)&amp; " " &amp; r_lname()&amp; " "&amp; r_choice($O$1:$O$6)</f>
        <v>24 Fassbinder Street</v>
      </c>
      <c r="E246" t="str">
        <f t="shared" ca="1" si="16"/>
        <v>NORTH</v>
      </c>
      <c r="F246" t="str">
        <f t="shared" ca="1" si="18"/>
        <v>VIP</v>
      </c>
      <c r="G246" s="1" t="s">
        <v>4568</v>
      </c>
      <c r="H246" t="str">
        <f t="shared" ca="1" si="17"/>
        <v>YES</v>
      </c>
      <c r="M246" t="str">
        <f t="shared" ca="1" si="19"/>
        <v>insert into Customers values ('cust-234', 'Female', 'Sharyn Corona', '115 Hales Place', 'EAST', 'LOW', null, 'NO');</v>
      </c>
    </row>
    <row r="247" spans="1:13" x14ac:dyDescent="0.25">
      <c r="A247" s="1" t="s">
        <v>4835</v>
      </c>
      <c r="B247" s="1" t="str">
        <f t="shared" ca="1" si="15"/>
        <v>Other</v>
      </c>
      <c r="C247" t="str">
        <f ca="1">IF(B247 = "Male", r_fname_m(), IF(B247 = "Female", r_fname_f(), r_choice($N$1:$N$10)))&amp; " " &amp; r_lname()</f>
        <v>Novella Chappell</v>
      </c>
      <c r="D247" t="str">
        <f ca="1">r_integer(0,300)&amp; " " &amp; r_lname()&amp; " "&amp; r_choice($O$1:$O$6)</f>
        <v>194 Bloomberg Lane</v>
      </c>
      <c r="E247" t="str">
        <f t="shared" ca="1" si="16"/>
        <v>EAST</v>
      </c>
      <c r="F247" t="str">
        <f t="shared" ca="1" si="18"/>
        <v>VIP</v>
      </c>
      <c r="G247" s="1"/>
      <c r="H247" t="str">
        <f t="shared" ca="1" si="17"/>
        <v>YES</v>
      </c>
      <c r="M247" t="str">
        <f t="shared" ca="1" si="19"/>
        <v>insert into Customers values ('cust-235', 'Female', 'Constance Tobin', '176 Dodson Place', 'WEST', 'LOW', null, 'YES');</v>
      </c>
    </row>
    <row r="248" spans="1:13" x14ac:dyDescent="0.25">
      <c r="A248" s="1" t="s">
        <v>4836</v>
      </c>
      <c r="B248" s="1" t="str">
        <f t="shared" ca="1" si="15"/>
        <v>Male</v>
      </c>
      <c r="C248" t="str">
        <f ca="1">IF(B248 = "Male", r_fname_m(), IF(B248 = "Female", r_fname_f(), r_choice($N$1:$N$10)))&amp; " " &amp; r_lname()</f>
        <v>Raul Freeman</v>
      </c>
      <c r="D248" t="str">
        <f ca="1">r_integer(0,300)&amp; " " &amp; r_lname()&amp; " "&amp; r_choice($O$1:$O$6)</f>
        <v>48 Mathers Street</v>
      </c>
      <c r="E248" t="str">
        <f t="shared" ca="1" si="16"/>
        <v>SOUTH</v>
      </c>
      <c r="F248" t="str">
        <f t="shared" ca="1" si="18"/>
        <v>MED</v>
      </c>
      <c r="G248" s="1"/>
      <c r="H248" t="str">
        <f t="shared" ca="1" si="17"/>
        <v>NO</v>
      </c>
      <c r="M248" t="str">
        <f t="shared" ca="1" si="19"/>
        <v>insert into Customers values ('cust-236', 'Female', 'Dana Wilson', '75 Juarez Park', 'NORTH', 'VIP', null, 'NO');</v>
      </c>
    </row>
    <row r="249" spans="1:13" x14ac:dyDescent="0.25">
      <c r="A249" s="1" t="s">
        <v>4837</v>
      </c>
      <c r="B249" s="1" t="str">
        <f t="shared" ca="1" si="15"/>
        <v>Male</v>
      </c>
      <c r="C249" t="str">
        <f ca="1">IF(B249 = "Male", r_fname_m(), IF(B249 = "Female", r_fname_f(), r_choice($N$1:$N$10)))&amp; " " &amp; r_lname()</f>
        <v>Jay Mayfield</v>
      </c>
      <c r="D249" t="str">
        <f ca="1">r_integer(0,300)&amp; " " &amp; r_lname()&amp; " "&amp; r_choice($O$1:$O$6)</f>
        <v>242 Dilbert Lane</v>
      </c>
      <c r="E249" t="str">
        <f t="shared" ca="1" si="16"/>
        <v>WEST</v>
      </c>
      <c r="F249" t="str">
        <f t="shared" ca="1" si="18"/>
        <v>LOW</v>
      </c>
      <c r="G249" s="1"/>
      <c r="H249" t="str">
        <f t="shared" ca="1" si="17"/>
        <v>YES</v>
      </c>
      <c r="M249" t="str">
        <f t="shared" ca="1" si="19"/>
        <v>insert into Customers values ('cust-237', 'Female', 'Justine Dickerson', '59 Castaneda Square', 'NORTH', 'VIP', 'crd_094', 'NO');</v>
      </c>
    </row>
    <row r="250" spans="1:13" x14ac:dyDescent="0.25">
      <c r="A250" s="1" t="s">
        <v>4838</v>
      </c>
      <c r="B250" s="1" t="str">
        <f t="shared" ca="1" si="15"/>
        <v>Female</v>
      </c>
      <c r="C250" t="str">
        <f ca="1">IF(B250 = "Male", r_fname_m(), IF(B250 = "Female", r_fname_f(), r_choice($N$1:$N$10)))&amp; " " &amp; r_lname()</f>
        <v>Dede Cochran</v>
      </c>
      <c r="D250" t="str">
        <f ca="1">r_integer(0,300)&amp; " " &amp; r_lname()&amp; " "&amp; r_choice($O$1:$O$6)</f>
        <v>218 Bloomberg Avenue</v>
      </c>
      <c r="E250" t="str">
        <f t="shared" ca="1" si="16"/>
        <v>WEST</v>
      </c>
      <c r="F250" t="str">
        <f t="shared" ca="1" si="18"/>
        <v>HIGH</v>
      </c>
      <c r="G250" s="1" t="s">
        <v>4577</v>
      </c>
      <c r="H250" t="str">
        <f t="shared" ca="1" si="17"/>
        <v>YES</v>
      </c>
      <c r="M250" t="str">
        <f t="shared" ca="1" si="19"/>
        <v>insert into Customers values ('cust-238', 'Other', 'Ardis Busch', '120 Ortega Park', 'WEST', 'MED', 'crd_086', 'YES');</v>
      </c>
    </row>
    <row r="251" spans="1:13" x14ac:dyDescent="0.25">
      <c r="A251" s="1" t="s">
        <v>4839</v>
      </c>
      <c r="B251" s="1" t="str">
        <f t="shared" ca="1" si="15"/>
        <v>Other</v>
      </c>
      <c r="C251" t="str">
        <f ca="1">IF(B251 = "Male", r_fname_m(), IF(B251 = "Female", r_fname_f(), r_choice($N$1:$N$10)))&amp; " " &amp; r_lname()</f>
        <v>Olive Sforza</v>
      </c>
      <c r="D251" t="str">
        <f ca="1">r_integer(0,300)&amp; " " &amp; r_lname()&amp; " "&amp; r_choice($O$1:$O$6)</f>
        <v>202 Bray Lane</v>
      </c>
      <c r="E251" t="str">
        <f t="shared" ca="1" si="16"/>
        <v>NORTH</v>
      </c>
      <c r="F251" t="str">
        <f t="shared" ca="1" si="18"/>
        <v>VIP</v>
      </c>
      <c r="G251" s="1"/>
      <c r="H251" t="str">
        <f t="shared" ca="1" si="17"/>
        <v>YES</v>
      </c>
      <c r="M251" t="str">
        <f t="shared" ca="1" si="19"/>
        <v>insert into Customers values ('cust-239', 'Female', 'Blanch Schmitz', '114 Joseph Lane', 'NORTH', 'HIGH', 'crd_063', 'NO');</v>
      </c>
    </row>
    <row r="252" spans="1:13" x14ac:dyDescent="0.25">
      <c r="A252" s="1" t="s">
        <v>4840</v>
      </c>
      <c r="B252" s="1" t="str">
        <f t="shared" ca="1" si="15"/>
        <v>Female</v>
      </c>
      <c r="C252" t="str">
        <f ca="1">IF(B252 = "Male", r_fname_m(), IF(B252 = "Female", r_fname_f(), r_choice($N$1:$N$10)))&amp; " " &amp; r_lname()</f>
        <v>Tangela Nunez</v>
      </c>
      <c r="D252" t="str">
        <f ca="1">r_integer(0,300)&amp; " " &amp; r_lname()&amp; " "&amp; r_choice($O$1:$O$6)</f>
        <v>198 Tatum Street</v>
      </c>
      <c r="E252" t="str">
        <f t="shared" ca="1" si="16"/>
        <v>NORTH</v>
      </c>
      <c r="F252" t="str">
        <f t="shared" ca="1" si="18"/>
        <v>LOW</v>
      </c>
      <c r="G252" s="1"/>
      <c r="H252" t="str">
        <f t="shared" ca="1" si="17"/>
        <v>YES</v>
      </c>
      <c r="M252" t="str">
        <f t="shared" ca="1" si="19"/>
        <v>insert into Customers values ('cust-240', 'Female', 'Lucia Travis', '127 Warren Place', 'SOUTH', 'MED', 'crd_014', 'YES');</v>
      </c>
    </row>
    <row r="253" spans="1:13" x14ac:dyDescent="0.25">
      <c r="A253" s="1" t="s">
        <v>4841</v>
      </c>
      <c r="B253" s="1" t="str">
        <f t="shared" ca="1" si="15"/>
        <v>Male</v>
      </c>
      <c r="C253" t="str">
        <f ca="1">IF(B253 = "Male", r_fname_m(), IF(B253 = "Female", r_fname_f(), r_choice($N$1:$N$10)))&amp; " " &amp; r_lname()</f>
        <v>Coleman Irvin</v>
      </c>
      <c r="D253" t="str">
        <f ca="1">r_integer(0,300)&amp; " " &amp; r_lname()&amp; " "&amp; r_choice($O$1:$O$6)</f>
        <v>251 Skinner Avenue</v>
      </c>
      <c r="E253" t="str">
        <f t="shared" ca="1" si="16"/>
        <v>WEST</v>
      </c>
      <c r="F253" t="str">
        <f t="shared" ca="1" si="18"/>
        <v>HIGH</v>
      </c>
      <c r="G253" s="1"/>
      <c r="H253" t="str">
        <f t="shared" ca="1" si="17"/>
        <v>NO</v>
      </c>
      <c r="M253" t="str">
        <f t="shared" ca="1" si="19"/>
        <v>insert into Customers values ('cust-241', 'Female', 'Elisabeta Chung', '281 Carlisle Place', 'NORTH', 'MED', null, 'NO');</v>
      </c>
    </row>
    <row r="254" spans="1:13" x14ac:dyDescent="0.25">
      <c r="A254" s="1" t="s">
        <v>4842</v>
      </c>
      <c r="B254" s="1" t="str">
        <f t="shared" ca="1" si="15"/>
        <v>Other</v>
      </c>
      <c r="C254" t="str">
        <f ca="1">IF(B254 = "Male", r_fname_m(), IF(B254 = "Female", r_fname_f(), r_choice($N$1:$N$10)))&amp; " " &amp; r_lname()</f>
        <v>Novella Quick</v>
      </c>
      <c r="D254" t="str">
        <f ca="1">r_integer(0,300)&amp; " " &amp; r_lname()&amp; " "&amp; r_choice($O$1:$O$6)</f>
        <v>30 Chisum Square</v>
      </c>
      <c r="E254" t="str">
        <f t="shared" ca="1" si="16"/>
        <v>NORTH</v>
      </c>
      <c r="F254" t="str">
        <f t="shared" ca="1" si="18"/>
        <v>LOW</v>
      </c>
      <c r="G254" s="1"/>
      <c r="H254" t="str">
        <f t="shared" ca="1" si="17"/>
        <v>NO</v>
      </c>
      <c r="M254" t="str">
        <f t="shared" ca="1" si="19"/>
        <v>insert into Customers values ('cust-242', 'Other', 'Douglas Livingston', '211 Caballero Lane', 'WEST', 'VIP', null, 'YES');</v>
      </c>
    </row>
    <row r="255" spans="1:13" x14ac:dyDescent="0.25">
      <c r="A255" s="1" t="s">
        <v>4843</v>
      </c>
      <c r="B255" s="1" t="str">
        <f t="shared" ca="1" si="15"/>
        <v>Male</v>
      </c>
      <c r="C255" t="str">
        <f ca="1">IF(B255 = "Male", r_fname_m(), IF(B255 = "Female", r_fname_f(), r_choice($N$1:$N$10)))&amp; " " &amp; r_lname()</f>
        <v>Nathanael Bui</v>
      </c>
      <c r="D255" t="str">
        <f ca="1">r_integer(0,300)&amp; " " &amp; r_lname()&amp; " "&amp; r_choice($O$1:$O$6)</f>
        <v>136 Helm Square</v>
      </c>
      <c r="E255" t="str">
        <f t="shared" ca="1" si="16"/>
        <v>EAST</v>
      </c>
      <c r="F255" t="str">
        <f t="shared" ca="1" si="18"/>
        <v>MED</v>
      </c>
      <c r="G255" s="1"/>
      <c r="H255" t="str">
        <f t="shared" ca="1" si="17"/>
        <v>NO</v>
      </c>
      <c r="M255" t="str">
        <f t="shared" ca="1" si="19"/>
        <v>insert into Customers values ('cust-243', 'Female', 'Euridice Hodge', '112 Fernandez Avenue', 'SOUTH', 'LOW', null, 'YES');</v>
      </c>
    </row>
    <row r="256" spans="1:13" x14ac:dyDescent="0.25">
      <c r="A256" s="1" t="s">
        <v>4844</v>
      </c>
      <c r="B256" s="1" t="str">
        <f t="shared" ca="1" si="15"/>
        <v>Other</v>
      </c>
      <c r="C256" t="str">
        <f ca="1">IF(B256 = "Male", r_fname_m(), IF(B256 = "Female", r_fname_f(), r_choice($N$1:$N$10)))&amp; " " &amp; r_lname()</f>
        <v>Olive Winston</v>
      </c>
      <c r="D256" t="str">
        <f ca="1">r_integer(0,300)&amp; " " &amp; r_lname()&amp; " "&amp; r_choice($O$1:$O$6)</f>
        <v>72 Lindsay Lane</v>
      </c>
      <c r="E256" t="str">
        <f t="shared" ca="1" si="16"/>
        <v>WEST</v>
      </c>
      <c r="F256" t="str">
        <f t="shared" ca="1" si="18"/>
        <v>LOW</v>
      </c>
      <c r="G256" s="1" t="s">
        <v>4555</v>
      </c>
      <c r="H256" t="str">
        <f t="shared" ca="1" si="17"/>
        <v>NO</v>
      </c>
      <c r="M256" t="str">
        <f t="shared" ca="1" si="19"/>
        <v>insert into Customers values ('cust-244', 'Male', 'Bernt Briggs', '291 Combs Park', 'EAST', 'HIGH', null, 'NO');</v>
      </c>
    </row>
    <row r="257" spans="1:13" x14ac:dyDescent="0.25">
      <c r="A257" s="1" t="s">
        <v>4845</v>
      </c>
      <c r="B257" s="1" t="str">
        <f t="shared" ca="1" si="15"/>
        <v>Male</v>
      </c>
      <c r="C257" t="str">
        <f ca="1">IF(B257 = "Male", r_fname_m(), IF(B257 = "Female", r_fname_f(), r_choice($N$1:$N$10)))&amp; " " &amp; r_lname()</f>
        <v>Lewis Guy</v>
      </c>
      <c r="D257" t="str">
        <f ca="1">r_integer(0,300)&amp; " " &amp; r_lname()&amp; " "&amp; r_choice($O$1:$O$6)</f>
        <v>172 Carr Park</v>
      </c>
      <c r="E257" t="str">
        <f t="shared" ca="1" si="16"/>
        <v>SOUTH</v>
      </c>
      <c r="F257" t="str">
        <f t="shared" ca="1" si="18"/>
        <v>HIGH</v>
      </c>
      <c r="G257" s="1"/>
      <c r="H257" t="str">
        <f t="shared" ca="1" si="17"/>
        <v>NO</v>
      </c>
      <c r="M257" t="str">
        <f t="shared" ca="1" si="19"/>
        <v>insert into Customers values ('cust-245', 'Male', 'Giuseppe Burris', '24 Fassbinder Street', 'NORTH', 'VIP', 'crd_028', 'YES');</v>
      </c>
    </row>
    <row r="258" spans="1:13" x14ac:dyDescent="0.25">
      <c r="A258" s="1" t="s">
        <v>4846</v>
      </c>
      <c r="B258" s="1" t="str">
        <f t="shared" ref="B258:B301" ca="1" si="20">r_choice($M$1:$M$3)</f>
        <v>Other</v>
      </c>
      <c r="C258" t="str">
        <f ca="1">IF(B258 = "Male", r_fname_m(), IF(B258 = "Female", r_fname_f(), r_choice($N$1:$N$10)))&amp; " " &amp; r_lname()</f>
        <v>Ali Milic</v>
      </c>
      <c r="D258" t="str">
        <f ca="1">r_integer(0,300)&amp; " " &amp; r_lname()&amp; " "&amp; r_choice($O$1:$O$6)</f>
        <v>123 Law Place</v>
      </c>
      <c r="E258" t="str">
        <f t="shared" ref="E258:E301" ca="1" si="21">r_choice($P$1:$P$5)</f>
        <v>WEST</v>
      </c>
      <c r="F258" t="str">
        <f t="shared" ca="1" si="18"/>
        <v>LOW</v>
      </c>
      <c r="G258" s="1"/>
      <c r="H258" t="str">
        <f t="shared" ref="H258:H301" ca="1" si="22">r_choice($M$5:$M$6)</f>
        <v>YES</v>
      </c>
      <c r="M258" t="str">
        <f t="shared" ca="1" si="19"/>
        <v>insert into Customers values ('cust-246', 'Other', 'Novella Chappell', '194 Bloomberg Lane', 'EAST', 'VIP', null, 'YES');</v>
      </c>
    </row>
    <row r="259" spans="1:13" x14ac:dyDescent="0.25">
      <c r="A259" s="1" t="s">
        <v>4847</v>
      </c>
      <c r="B259" s="1" t="str">
        <f t="shared" ca="1" si="20"/>
        <v>Female</v>
      </c>
      <c r="C259" t="str">
        <f ca="1">IF(B259 = "Male", r_fname_m(), IF(B259 = "Female", r_fname_f(), r_choice($N$1:$N$10)))&amp; " " &amp; r_lname()</f>
        <v>Delois Myers</v>
      </c>
      <c r="D259" t="str">
        <f ca="1">r_integer(0,300)&amp; " " &amp; r_lname()&amp; " "&amp; r_choice($O$1:$O$6)</f>
        <v>11 Oneil Park</v>
      </c>
      <c r="E259" t="str">
        <f t="shared" ca="1" si="21"/>
        <v>EAST</v>
      </c>
      <c r="F259" t="str">
        <f t="shared" ref="F259:F301" ca="1" si="23">r_choice($Q$1:$Q$4)</f>
        <v>MED</v>
      </c>
      <c r="G259" s="1"/>
      <c r="H259" t="str">
        <f t="shared" ca="1" si="22"/>
        <v>YES</v>
      </c>
      <c r="M259" t="str">
        <f t="shared" ca="1" si="19"/>
        <v>insert into Customers values ('cust-247', 'Male', 'Raul Freeman', '48 Mathers Street', 'SOUTH', 'MED', null, 'NO');</v>
      </c>
    </row>
    <row r="260" spans="1:13" x14ac:dyDescent="0.25">
      <c r="A260" s="1" t="s">
        <v>4848</v>
      </c>
      <c r="B260" s="1" t="str">
        <f t="shared" ca="1" si="20"/>
        <v>Female</v>
      </c>
      <c r="C260" t="str">
        <f ca="1">IF(B260 = "Male", r_fname_m(), IF(B260 = "Female", r_fname_f(), r_choice($N$1:$N$10)))&amp; " " &amp; r_lname()</f>
        <v>Lula Hewitt</v>
      </c>
      <c r="D260" t="str">
        <f ca="1">r_integer(0,300)&amp; " " &amp; r_lname()&amp; " "&amp; r_choice($O$1:$O$6)</f>
        <v>147 Parra Place</v>
      </c>
      <c r="E260" t="str">
        <f t="shared" ca="1" si="21"/>
        <v>CENTRAL</v>
      </c>
      <c r="F260" t="str">
        <f t="shared" ca="1" si="23"/>
        <v>LOW</v>
      </c>
      <c r="G260" s="1"/>
      <c r="H260" t="str">
        <f t="shared" ca="1" si="22"/>
        <v>NO</v>
      </c>
      <c r="M260" t="str">
        <f t="shared" ca="1" si="19"/>
        <v>insert into Customers values ('cust-248', 'Male', 'Jay Mayfield', '242 Dilbert Lane', 'WEST', 'LOW', null, 'YES');</v>
      </c>
    </row>
    <row r="261" spans="1:13" x14ac:dyDescent="0.25">
      <c r="A261" s="1" t="s">
        <v>4849</v>
      </c>
      <c r="B261" s="1" t="str">
        <f t="shared" ca="1" si="20"/>
        <v>Other</v>
      </c>
      <c r="C261" t="str">
        <f ca="1">IF(B261 = "Male", r_fname_m(), IF(B261 = "Female", r_fname_f(), r_choice($N$1:$N$10)))&amp; " " &amp; r_lname()</f>
        <v>Basil Madrigal</v>
      </c>
      <c r="D261" t="str">
        <f ca="1">r_integer(0,300)&amp; " " &amp; r_lname()&amp; " "&amp; r_choice($O$1:$O$6)</f>
        <v>1 Maclaren Lane</v>
      </c>
      <c r="E261" t="str">
        <f t="shared" ca="1" si="21"/>
        <v>SOUTH</v>
      </c>
      <c r="F261" t="str">
        <f t="shared" ca="1" si="23"/>
        <v>MED</v>
      </c>
      <c r="G261" s="1" t="s">
        <v>4929</v>
      </c>
      <c r="H261" t="str">
        <f t="shared" ca="1" si="22"/>
        <v>YES</v>
      </c>
      <c r="M261" t="str">
        <f t="shared" ca="1" si="19"/>
        <v>insert into Customers values ('cust-249', 'Female', 'Dede Cochran', '218 Bloomberg Avenue', 'WEST', 'HIGH', 'crd_037', 'YES');</v>
      </c>
    </row>
    <row r="262" spans="1:13" x14ac:dyDescent="0.25">
      <c r="A262" s="1" t="s">
        <v>4850</v>
      </c>
      <c r="B262" s="1" t="str">
        <f t="shared" ca="1" si="20"/>
        <v>Female</v>
      </c>
      <c r="C262" t="str">
        <f ca="1">IF(B262 = "Male", r_fname_m(), IF(B262 = "Female", r_fname_f(), r_choice($N$1:$N$10)))&amp; " " &amp; r_lname()</f>
        <v>Andrea Mclean</v>
      </c>
      <c r="D262" t="str">
        <f ca="1">r_integer(0,300)&amp; " " &amp; r_lname()&amp; " "&amp; r_choice($O$1:$O$6)</f>
        <v>252 Pope Square</v>
      </c>
      <c r="E262" t="str">
        <f t="shared" ca="1" si="21"/>
        <v>NORTH</v>
      </c>
      <c r="F262" t="str">
        <f t="shared" ca="1" si="23"/>
        <v>MED</v>
      </c>
      <c r="G262" s="1"/>
      <c r="H262" t="str">
        <f t="shared" ca="1" si="22"/>
        <v>YES</v>
      </c>
      <c r="M262" t="str">
        <f t="shared" ca="1" si="19"/>
        <v>insert into Customers values ('cust-250', 'Other', 'Olive Sforza', '202 Bray Lane', 'NORTH', 'VIP', null, 'YES');</v>
      </c>
    </row>
    <row r="263" spans="1:13" x14ac:dyDescent="0.25">
      <c r="A263" s="1" t="s">
        <v>4851</v>
      </c>
      <c r="B263" s="1" t="str">
        <f t="shared" ca="1" si="20"/>
        <v>Male</v>
      </c>
      <c r="C263" t="str">
        <f ca="1">IF(B263 = "Male", r_fname_m(), IF(B263 = "Female", r_fname_f(), r_choice($N$1:$N$10)))&amp; " " &amp; r_lname()</f>
        <v>Casey Brooks</v>
      </c>
      <c r="D263" t="str">
        <f ca="1">r_integer(0,300)&amp; " " &amp; r_lname()&amp; " "&amp; r_choice($O$1:$O$6)</f>
        <v>174 Santiago Place</v>
      </c>
      <c r="E263" t="str">
        <f t="shared" ca="1" si="21"/>
        <v>SOUTH</v>
      </c>
      <c r="F263" t="str">
        <f t="shared" ca="1" si="23"/>
        <v>MED</v>
      </c>
      <c r="G263" s="1" t="s">
        <v>4575</v>
      </c>
      <c r="H263" t="str">
        <f t="shared" ca="1" si="22"/>
        <v>NO</v>
      </c>
      <c r="M263" t="str">
        <f t="shared" ca="1" si="19"/>
        <v>insert into Customers values ('cust-251', 'Female', 'Tangela Nunez', '198 Tatum Street', 'NORTH', 'LOW', null, 'YES');</v>
      </c>
    </row>
    <row r="264" spans="1:13" x14ac:dyDescent="0.25">
      <c r="A264" s="1" t="s">
        <v>4852</v>
      </c>
      <c r="B264" s="1" t="str">
        <f t="shared" ca="1" si="20"/>
        <v>Male</v>
      </c>
      <c r="C264" t="str">
        <f ca="1">IF(B264 = "Male", r_fname_m(), IF(B264 = "Female", r_fname_f(), r_choice($N$1:$N$10)))&amp; " " &amp; r_lname()</f>
        <v>Allen Ingle</v>
      </c>
      <c r="D264" t="str">
        <f ca="1">r_integer(0,300)&amp; " " &amp; r_lname()&amp; " "&amp; r_choice($O$1:$O$6)</f>
        <v>102 Eaton Street</v>
      </c>
      <c r="E264" t="str">
        <f t="shared" ca="1" si="21"/>
        <v>SOUTH</v>
      </c>
      <c r="F264" t="str">
        <f t="shared" ca="1" si="23"/>
        <v>MED</v>
      </c>
      <c r="G264" s="1"/>
      <c r="H264" t="str">
        <f t="shared" ca="1" si="22"/>
        <v>YES</v>
      </c>
      <c r="M264" t="str">
        <f t="shared" ca="1" si="19"/>
        <v>insert into Customers values ('cust-252', 'Male', 'Coleman Irvin', '251 Skinner Avenue', 'WEST', 'HIGH', null, 'NO');</v>
      </c>
    </row>
    <row r="265" spans="1:13" x14ac:dyDescent="0.25">
      <c r="A265" s="1" t="s">
        <v>4853</v>
      </c>
      <c r="B265" s="1" t="str">
        <f t="shared" ca="1" si="20"/>
        <v>Other</v>
      </c>
      <c r="C265" t="str">
        <f ca="1">IF(B265 = "Male", r_fname_m(), IF(B265 = "Female", r_fname_f(), r_choice($N$1:$N$10)))&amp; " " &amp; r_lname()</f>
        <v>Ardis Penn</v>
      </c>
      <c r="D265" t="str">
        <f ca="1">r_integer(0,300)&amp; " " &amp; r_lname()&amp; " "&amp; r_choice($O$1:$O$6)</f>
        <v>132 Upton Lane</v>
      </c>
      <c r="E265" t="str">
        <f t="shared" ca="1" si="21"/>
        <v>WEST</v>
      </c>
      <c r="F265" t="str">
        <f t="shared" ca="1" si="23"/>
        <v>MED</v>
      </c>
      <c r="G265" s="1"/>
      <c r="H265" t="str">
        <f t="shared" ca="1" si="22"/>
        <v>YES</v>
      </c>
      <c r="M265" t="str">
        <f t="shared" ca="1" si="19"/>
        <v>insert into Customers values ('cust-253', 'Other', 'Novella Quick', '30 Chisum Square', 'NORTH', 'LOW', null, 'NO');</v>
      </c>
    </row>
    <row r="266" spans="1:13" x14ac:dyDescent="0.25">
      <c r="A266" s="1" t="s">
        <v>4854</v>
      </c>
      <c r="B266" s="1" t="str">
        <f t="shared" ca="1" si="20"/>
        <v>Female</v>
      </c>
      <c r="C266" t="str">
        <f ca="1">IF(B266 = "Male", r_fname_m(), IF(B266 = "Female", r_fname_f(), r_choice($N$1:$N$10)))&amp; " " &amp; r_lname()</f>
        <v>Jacinta Solis</v>
      </c>
      <c r="D266" t="str">
        <f ca="1">r_integer(0,300)&amp; " " &amp; r_lname()&amp; " "&amp; r_choice($O$1:$O$6)</f>
        <v>266 Oneal Lane</v>
      </c>
      <c r="E266" t="str">
        <f t="shared" ca="1" si="21"/>
        <v>SOUTH</v>
      </c>
      <c r="F266" t="str">
        <f t="shared" ca="1" si="23"/>
        <v>VIP</v>
      </c>
      <c r="G266" s="1"/>
      <c r="H266" t="str">
        <f t="shared" ca="1" si="22"/>
        <v>YES</v>
      </c>
      <c r="M266" t="str">
        <f t="shared" ca="1" si="19"/>
        <v>insert into Customers values ('cust-254', 'Male', 'Nathanael Bui', '136 Helm Square', 'EAST', 'MED', null, 'NO');</v>
      </c>
    </row>
    <row r="267" spans="1:13" x14ac:dyDescent="0.25">
      <c r="A267" s="1" t="s">
        <v>4855</v>
      </c>
      <c r="B267" s="1" t="str">
        <f t="shared" ca="1" si="20"/>
        <v>Female</v>
      </c>
      <c r="C267" t="str">
        <f ca="1">IF(B267 = "Male", r_fname_m(), IF(B267 = "Female", r_fname_f(), r_choice($N$1:$N$10)))&amp; " " &amp; r_lname()</f>
        <v>Louise Wainwright</v>
      </c>
      <c r="D267" t="str">
        <f ca="1">r_integer(0,300)&amp; " " &amp; r_lname()&amp; " "&amp; r_choice($O$1:$O$6)</f>
        <v>53 Neely Lane</v>
      </c>
      <c r="E267" t="str">
        <f t="shared" ca="1" si="21"/>
        <v>WEST</v>
      </c>
      <c r="F267" t="str">
        <f t="shared" ca="1" si="23"/>
        <v>LOW</v>
      </c>
      <c r="G267" s="1" t="s">
        <v>4549</v>
      </c>
      <c r="H267" t="str">
        <f t="shared" ca="1" si="22"/>
        <v>NO</v>
      </c>
      <c r="M267" t="str">
        <f t="shared" ca="1" si="19"/>
        <v>insert into Customers values ('cust-255', 'Other', 'Olive Winston', '72 Lindsay Lane', 'WEST', 'LOW', 'crd_015', 'NO');</v>
      </c>
    </row>
    <row r="268" spans="1:13" x14ac:dyDescent="0.25">
      <c r="A268" s="1" t="s">
        <v>4856</v>
      </c>
      <c r="B268" s="1" t="str">
        <f t="shared" ca="1" si="20"/>
        <v>Male</v>
      </c>
      <c r="C268" t="str">
        <f ca="1">IF(B268 = "Male", r_fname_m(), IF(B268 = "Female", r_fname_f(), r_choice($N$1:$N$10)))&amp; " " &amp; r_lname()</f>
        <v>Orfeo Novak</v>
      </c>
      <c r="D268" t="str">
        <f ca="1">r_integer(0,300)&amp; " " &amp; r_lname()&amp; " "&amp; r_choice($O$1:$O$6)</f>
        <v>164 Feely Lane</v>
      </c>
      <c r="E268" t="str">
        <f t="shared" ca="1" si="21"/>
        <v>SOUTH</v>
      </c>
      <c r="F268" t="str">
        <f t="shared" ca="1" si="23"/>
        <v>LOW</v>
      </c>
      <c r="G268" s="1"/>
      <c r="H268" t="str">
        <f t="shared" ca="1" si="22"/>
        <v>YES</v>
      </c>
      <c r="M268" t="str">
        <f t="shared" ca="1" si="19"/>
        <v>insert into Customers values ('cust-256', 'Male', 'Lewis Guy', '172 Carr Park', 'SOUTH', 'HIGH', null, 'NO');</v>
      </c>
    </row>
    <row r="269" spans="1:13" x14ac:dyDescent="0.25">
      <c r="A269" s="1" t="s">
        <v>4857</v>
      </c>
      <c r="B269" s="1" t="str">
        <f t="shared" ca="1" si="20"/>
        <v>Female</v>
      </c>
      <c r="C269" t="str">
        <f ca="1">IF(B269 = "Male", r_fname_m(), IF(B269 = "Female", r_fname_f(), r_choice($N$1:$N$10)))&amp; " " &amp; r_lname()</f>
        <v>Breanna Reed</v>
      </c>
      <c r="D269" t="str">
        <f ca="1">r_integer(0,300)&amp; " " &amp; r_lname()&amp; " "&amp; r_choice($O$1:$O$6)</f>
        <v>225 Leal Park</v>
      </c>
      <c r="E269" t="str">
        <f t="shared" ca="1" si="21"/>
        <v>NORTH</v>
      </c>
      <c r="F269" t="str">
        <f t="shared" ca="1" si="23"/>
        <v>MED</v>
      </c>
      <c r="G269" s="1"/>
      <c r="H269" t="str">
        <f t="shared" ca="1" si="22"/>
        <v>NO</v>
      </c>
      <c r="M269" t="str">
        <f t="shared" ref="M269:M312" ca="1" si="24">insertinto(A258:H258,$S$1:$T$8,"Customers")</f>
        <v>insert into Customers values ('cust-257', 'Other', 'Ali Milic', '123 Law Place', 'WEST', 'LOW', null, 'YES');</v>
      </c>
    </row>
    <row r="270" spans="1:13" x14ac:dyDescent="0.25">
      <c r="A270" s="1" t="s">
        <v>4858</v>
      </c>
      <c r="B270" s="1" t="str">
        <f t="shared" ca="1" si="20"/>
        <v>Male</v>
      </c>
      <c r="C270" t="str">
        <f ca="1">IF(B270 = "Male", r_fname_m(), IF(B270 = "Female", r_fname_f(), r_choice($N$1:$N$10)))&amp; " " &amp; r_lname()</f>
        <v>Alec Marschall</v>
      </c>
      <c r="D270" t="str">
        <f ca="1">r_integer(0,300)&amp; " " &amp; r_lname()&amp; " "&amp; r_choice($O$1:$O$6)</f>
        <v>171 Misrah Street</v>
      </c>
      <c r="E270" t="str">
        <f t="shared" ca="1" si="21"/>
        <v>EAST</v>
      </c>
      <c r="F270" t="str">
        <f t="shared" ca="1" si="23"/>
        <v>LOW</v>
      </c>
      <c r="G270" s="1"/>
      <c r="H270" t="str">
        <f t="shared" ca="1" si="22"/>
        <v>YES</v>
      </c>
      <c r="M270" t="str">
        <f t="shared" ca="1" si="24"/>
        <v>insert into Customers values ('cust-258', 'Female', 'Delois Myers', '11 Oneil Park', 'EAST', 'MED', null, 'YES');</v>
      </c>
    </row>
    <row r="271" spans="1:13" x14ac:dyDescent="0.25">
      <c r="A271" s="1" t="s">
        <v>4859</v>
      </c>
      <c r="B271" s="1" t="str">
        <f t="shared" ca="1" si="20"/>
        <v>Other</v>
      </c>
      <c r="C271" t="str">
        <f ca="1">IF(B271 = "Male", r_fname_m(), IF(B271 = "Female", r_fname_f(), r_choice($N$1:$N$10)))&amp; " " &amp; r_lname()</f>
        <v>Rosaura Carroll</v>
      </c>
      <c r="D271" t="str">
        <f ca="1">r_integer(0,300)&amp; " " &amp; r_lname()&amp; " "&amp; r_choice($O$1:$O$6)</f>
        <v>3 Mccray Lane</v>
      </c>
      <c r="E271" t="str">
        <f t="shared" ca="1" si="21"/>
        <v>CENTRAL</v>
      </c>
      <c r="F271" t="str">
        <f t="shared" ca="1" si="23"/>
        <v>HIGH</v>
      </c>
      <c r="G271" s="1"/>
      <c r="H271" t="str">
        <f t="shared" ca="1" si="22"/>
        <v>YES</v>
      </c>
      <c r="M271" t="str">
        <f t="shared" ca="1" si="24"/>
        <v>insert into Customers values ('cust-259', 'Female', 'Lula Hewitt', '147 Parra Place', 'CENTRAL', 'LOW', null, 'NO');</v>
      </c>
    </row>
    <row r="272" spans="1:13" x14ac:dyDescent="0.25">
      <c r="A272" s="1" t="s">
        <v>4860</v>
      </c>
      <c r="B272" s="1" t="str">
        <f t="shared" ca="1" si="20"/>
        <v>Other</v>
      </c>
      <c r="C272" t="str">
        <f ca="1">IF(B272 = "Male", r_fname_m(), IF(B272 = "Female", r_fname_f(), r_choice($N$1:$N$10)))&amp; " " &amp; r_lname()</f>
        <v>Basil Burke</v>
      </c>
      <c r="D272" t="str">
        <f ca="1">r_integer(0,300)&amp; " " &amp; r_lname()&amp; " "&amp; r_choice($O$1:$O$6)</f>
        <v>34 Mckenna Avenue</v>
      </c>
      <c r="E272" t="str">
        <f t="shared" ca="1" si="21"/>
        <v>CENTRAL</v>
      </c>
      <c r="F272" t="str">
        <f t="shared" ca="1" si="23"/>
        <v>LOW</v>
      </c>
      <c r="G272" s="1"/>
      <c r="H272" t="str">
        <f t="shared" ca="1" si="22"/>
        <v>NO</v>
      </c>
      <c r="M272" t="str">
        <f t="shared" ca="1" si="24"/>
        <v>insert into Customers values ('cust-260', 'Other', 'Basil Madrigal', '1 Maclaren Lane', 'SOUTH', 'MED', 'crd_057', 'YES');</v>
      </c>
    </row>
    <row r="273" spans="1:13" x14ac:dyDescent="0.25">
      <c r="A273" s="1" t="s">
        <v>4861</v>
      </c>
      <c r="B273" s="1" t="str">
        <f t="shared" ca="1" si="20"/>
        <v>Female</v>
      </c>
      <c r="C273" t="str">
        <f ca="1">IF(B273 = "Male", r_fname_m(), IF(B273 = "Female", r_fname_f(), r_choice($N$1:$N$10)))&amp; " " &amp; r_lname()</f>
        <v>Marni Horton</v>
      </c>
      <c r="D273" t="str">
        <f ca="1">r_integer(0,300)&amp; " " &amp; r_lname()&amp; " "&amp; r_choice($O$1:$O$6)</f>
        <v>152 Mccarthy Lane</v>
      </c>
      <c r="E273" t="str">
        <f t="shared" ca="1" si="21"/>
        <v>EAST</v>
      </c>
      <c r="F273" t="str">
        <f t="shared" ca="1" si="23"/>
        <v>MED</v>
      </c>
      <c r="G273" s="1" t="s">
        <v>4953</v>
      </c>
      <c r="H273" t="str">
        <f t="shared" ca="1" si="22"/>
        <v>YES</v>
      </c>
      <c r="M273" t="str">
        <f t="shared" ca="1" si="24"/>
        <v>insert into Customers values ('cust-261', 'Female', 'Andrea Mclean', '252 Pope Square', 'NORTH', 'MED', null, 'YES');</v>
      </c>
    </row>
    <row r="274" spans="1:13" x14ac:dyDescent="0.25">
      <c r="A274" s="1" t="s">
        <v>4862</v>
      </c>
      <c r="B274" s="1" t="str">
        <f t="shared" ca="1" si="20"/>
        <v>Female</v>
      </c>
      <c r="C274" t="str">
        <f ca="1">IF(B274 = "Male", r_fname_m(), IF(B274 = "Female", r_fname_f(), r_choice($N$1:$N$10)))&amp; " " &amp; r_lname()</f>
        <v>Kristyn Spielberg</v>
      </c>
      <c r="D274" t="str">
        <f ca="1">r_integer(0,300)&amp; " " &amp; r_lname()&amp; " "&amp; r_choice($O$1:$O$6)</f>
        <v>88 Horn Lane</v>
      </c>
      <c r="E274" t="str">
        <f t="shared" ca="1" si="21"/>
        <v>NORTH</v>
      </c>
      <c r="F274" t="str">
        <f t="shared" ca="1" si="23"/>
        <v>MED</v>
      </c>
      <c r="G274" s="1"/>
      <c r="H274" t="str">
        <f t="shared" ca="1" si="22"/>
        <v>YES</v>
      </c>
      <c r="M274" t="str">
        <f t="shared" ca="1" si="24"/>
        <v>insert into Customers values ('cust-262', 'Male', 'Casey Brooks', '174 Santiago Place', 'SOUTH', 'MED', 'crd_035', 'NO');</v>
      </c>
    </row>
    <row r="275" spans="1:13" x14ac:dyDescent="0.25">
      <c r="A275" s="1" t="s">
        <v>4863</v>
      </c>
      <c r="B275" s="1" t="str">
        <f t="shared" ca="1" si="20"/>
        <v>Female</v>
      </c>
      <c r="C275" t="str">
        <f ca="1">IF(B275 = "Male", r_fname_m(), IF(B275 = "Female", r_fname_f(), r_choice($N$1:$N$10)))&amp; " " &amp; r_lname()</f>
        <v>Valencia Kauffman</v>
      </c>
      <c r="D275" t="str">
        <f ca="1">r_integer(0,300)&amp; " " &amp; r_lname()&amp; " "&amp; r_choice($O$1:$O$6)</f>
        <v>261 Travis Lane</v>
      </c>
      <c r="E275" t="str">
        <f t="shared" ca="1" si="21"/>
        <v>SOUTH</v>
      </c>
      <c r="F275" t="str">
        <f t="shared" ca="1" si="23"/>
        <v>HIGH</v>
      </c>
      <c r="G275" s="1"/>
      <c r="H275" t="str">
        <f t="shared" ca="1" si="22"/>
        <v>YES</v>
      </c>
      <c r="M275" t="str">
        <f t="shared" ca="1" si="24"/>
        <v>insert into Customers values ('cust-263', 'Male', 'Allen Ingle', '102 Eaton Street', 'SOUTH', 'MED', null, 'YES');</v>
      </c>
    </row>
    <row r="276" spans="1:13" x14ac:dyDescent="0.25">
      <c r="A276" s="1" t="s">
        <v>4864</v>
      </c>
      <c r="B276" s="1" t="str">
        <f t="shared" ca="1" si="20"/>
        <v>Male</v>
      </c>
      <c r="C276" t="str">
        <f ca="1">IF(B276 = "Male", r_fname_m(), IF(B276 = "Female", r_fname_f(), r_choice($N$1:$N$10)))&amp; " " &amp; r_lname()</f>
        <v>Alberto Cebalos</v>
      </c>
      <c r="D276" t="str">
        <f ca="1">r_integer(0,300)&amp; " " &amp; r_lname()&amp; " "&amp; r_choice($O$1:$O$6)</f>
        <v>224 Connor Square</v>
      </c>
      <c r="E276" t="str">
        <f t="shared" ca="1" si="21"/>
        <v>CENTRAL</v>
      </c>
      <c r="F276" t="str">
        <f t="shared" ca="1" si="23"/>
        <v>HIGH</v>
      </c>
      <c r="G276" s="1" t="s">
        <v>4563</v>
      </c>
      <c r="H276" t="str">
        <f t="shared" ca="1" si="22"/>
        <v>NO</v>
      </c>
      <c r="M276" t="str">
        <f t="shared" ca="1" si="24"/>
        <v>insert into Customers values ('cust-264', 'Other', 'Ardis Penn', '132 Upton Lane', 'WEST', 'MED', null, 'YES');</v>
      </c>
    </row>
    <row r="277" spans="1:13" x14ac:dyDescent="0.25">
      <c r="A277" s="1" t="s">
        <v>4865</v>
      </c>
      <c r="B277" s="1" t="str">
        <f t="shared" ca="1" si="20"/>
        <v>Male</v>
      </c>
      <c r="C277" t="str">
        <f ca="1">IF(B277 = "Male", r_fname_m(), IF(B277 = "Female", r_fname_f(), r_choice($N$1:$N$10)))&amp; " " &amp; r_lname()</f>
        <v>Sammie Salomon</v>
      </c>
      <c r="D277" t="str">
        <f ca="1">r_integer(0,300)&amp; " " &amp; r_lname()&amp; " "&amp; r_choice($O$1:$O$6)</f>
        <v>65 Castellanos Park</v>
      </c>
      <c r="E277" t="str">
        <f t="shared" ca="1" si="21"/>
        <v>WEST</v>
      </c>
      <c r="F277" t="str">
        <f t="shared" ca="1" si="23"/>
        <v>HIGH</v>
      </c>
      <c r="G277" s="1" t="s">
        <v>4945</v>
      </c>
      <c r="H277" t="str">
        <f t="shared" ca="1" si="22"/>
        <v>NO</v>
      </c>
      <c r="M277" t="str">
        <f t="shared" ca="1" si="24"/>
        <v>insert into Customers values ('cust-265', 'Female', 'Jacinta Solis', '266 Oneal Lane', 'SOUTH', 'VIP', null, 'YES');</v>
      </c>
    </row>
    <row r="278" spans="1:13" x14ac:dyDescent="0.25">
      <c r="A278" s="1" t="s">
        <v>4866</v>
      </c>
      <c r="B278" s="1" t="str">
        <f t="shared" ca="1" si="20"/>
        <v>Male</v>
      </c>
      <c r="C278" t="str">
        <f ca="1">IF(B278 = "Male", r_fname_m(), IF(B278 = "Female", r_fname_f(), r_choice($N$1:$N$10)))&amp; " " &amp; r_lname()</f>
        <v>Bill Huffman</v>
      </c>
      <c r="D278" t="str">
        <f ca="1">r_integer(0,300)&amp; " " &amp; r_lname()&amp; " "&amp; r_choice($O$1:$O$6)</f>
        <v>10 Lozano Avenue</v>
      </c>
      <c r="E278" t="str">
        <f t="shared" ca="1" si="21"/>
        <v>EAST</v>
      </c>
      <c r="F278" t="str">
        <f t="shared" ca="1" si="23"/>
        <v>VIP</v>
      </c>
      <c r="G278" s="1"/>
      <c r="H278" t="str">
        <f t="shared" ca="1" si="22"/>
        <v>NO</v>
      </c>
      <c r="M278" t="str">
        <f t="shared" ca="1" si="24"/>
        <v>insert into Customers values ('cust-266', 'Female', 'Louise Wainwright', '53 Neely Lane', 'WEST', 'LOW', 'crd_009', 'NO');</v>
      </c>
    </row>
    <row r="279" spans="1:13" x14ac:dyDescent="0.25">
      <c r="A279" s="1" t="s">
        <v>4867</v>
      </c>
      <c r="B279" s="1" t="str">
        <f t="shared" ca="1" si="20"/>
        <v>Other</v>
      </c>
      <c r="C279" t="str">
        <f ca="1">IF(B279 = "Male", r_fname_m(), IF(B279 = "Female", r_fname_f(), r_choice($N$1:$N$10)))&amp; " " &amp; r_lname()</f>
        <v>Ardis Carver</v>
      </c>
      <c r="D279" t="str">
        <f ca="1">r_integer(0,300)&amp; " " &amp; r_lname()&amp; " "&amp; r_choice($O$1:$O$6)</f>
        <v>47 Gamez Avenue</v>
      </c>
      <c r="E279" t="str">
        <f t="shared" ca="1" si="21"/>
        <v>EAST</v>
      </c>
      <c r="F279" t="str">
        <f t="shared" ca="1" si="23"/>
        <v>LOW</v>
      </c>
      <c r="G279" s="1" t="s">
        <v>4586</v>
      </c>
      <c r="H279" t="str">
        <f t="shared" ca="1" si="22"/>
        <v>NO</v>
      </c>
      <c r="M279" t="str">
        <f t="shared" ca="1" si="24"/>
        <v>insert into Customers values ('cust-267', 'Male', 'Orfeo Novak', '164 Feely Lane', 'SOUTH', 'LOW', null, 'YES');</v>
      </c>
    </row>
    <row r="280" spans="1:13" x14ac:dyDescent="0.25">
      <c r="A280" s="1" t="s">
        <v>4868</v>
      </c>
      <c r="B280" s="1" t="str">
        <f t="shared" ca="1" si="20"/>
        <v>Male</v>
      </c>
      <c r="C280" t="str">
        <f ca="1">IF(B280 = "Male", r_fname_m(), IF(B280 = "Female", r_fname_f(), r_choice($N$1:$N$10)))&amp; " " &amp; r_lname()</f>
        <v>Erwin Corioli</v>
      </c>
      <c r="D280" t="str">
        <f ca="1">r_integer(0,300)&amp; " " &amp; r_lname()&amp; " "&amp; r_choice($O$1:$O$6)</f>
        <v>6 Waller Park</v>
      </c>
      <c r="E280" t="str">
        <f t="shared" ca="1" si="21"/>
        <v>NORTH</v>
      </c>
      <c r="F280" t="str">
        <f t="shared" ca="1" si="23"/>
        <v>LOW</v>
      </c>
      <c r="G280" s="1"/>
      <c r="H280" t="str">
        <f t="shared" ca="1" si="22"/>
        <v>NO</v>
      </c>
      <c r="M280" t="str">
        <f t="shared" ca="1" si="24"/>
        <v>insert into Customers values ('cust-268', 'Female', 'Breanna Reed', '225 Leal Park', 'NORTH', 'MED', null, 'NO');</v>
      </c>
    </row>
    <row r="281" spans="1:13" x14ac:dyDescent="0.25">
      <c r="A281" s="1" t="s">
        <v>4869</v>
      </c>
      <c r="B281" s="1" t="str">
        <f t="shared" ca="1" si="20"/>
        <v>Male</v>
      </c>
      <c r="C281" t="str">
        <f ca="1">IF(B281 = "Male", r_fname_m(), IF(B281 = "Female", r_fname_f(), r_choice($N$1:$N$10)))&amp; " " &amp; r_lname()</f>
        <v>Grover Minford</v>
      </c>
      <c r="D281" t="str">
        <f ca="1">r_integer(0,300)&amp; " " &amp; r_lname()&amp; " "&amp; r_choice($O$1:$O$6)</f>
        <v>154 Bautista Park</v>
      </c>
      <c r="E281" t="str">
        <f t="shared" ca="1" si="21"/>
        <v>CENTRAL</v>
      </c>
      <c r="F281" t="str">
        <f t="shared" ca="1" si="23"/>
        <v>LOW</v>
      </c>
      <c r="G281" s="1"/>
      <c r="H281" t="str">
        <f t="shared" ca="1" si="22"/>
        <v>YES</v>
      </c>
      <c r="M281" t="str">
        <f t="shared" ca="1" si="24"/>
        <v>insert into Customers values ('cust-269', 'Male', 'Alec Marschall', '171 Misrah Street', 'EAST', 'LOW', null, 'YES');</v>
      </c>
    </row>
    <row r="282" spans="1:13" x14ac:dyDescent="0.25">
      <c r="A282" s="1" t="s">
        <v>4870</v>
      </c>
      <c r="B282" s="1" t="str">
        <f t="shared" ca="1" si="20"/>
        <v>Male</v>
      </c>
      <c r="C282" t="str">
        <f ca="1">IF(B282 = "Male", r_fname_m(), IF(B282 = "Female", r_fname_f(), r_choice($N$1:$N$10)))&amp; " " &amp; r_lname()</f>
        <v>Ivan Leal</v>
      </c>
      <c r="D282" t="str">
        <f ca="1">r_integer(0,300)&amp; " " &amp; r_lname()&amp; " "&amp; r_choice($O$1:$O$6)</f>
        <v>57 Rainey Place</v>
      </c>
      <c r="E282" t="str">
        <f t="shared" ca="1" si="21"/>
        <v>CENTRAL</v>
      </c>
      <c r="F282" t="str">
        <f t="shared" ca="1" si="23"/>
        <v>VIP</v>
      </c>
      <c r="G282" s="1"/>
      <c r="H282" t="str">
        <f t="shared" ca="1" si="22"/>
        <v>YES</v>
      </c>
      <c r="M282" t="str">
        <f t="shared" ca="1" si="24"/>
        <v>insert into Customers values ('cust-270', 'Other', 'Rosaura Carroll', '3 Mccray Lane', 'CENTRAL', 'HIGH', null, 'YES');</v>
      </c>
    </row>
    <row r="283" spans="1:13" x14ac:dyDescent="0.25">
      <c r="A283" s="1" t="s">
        <v>4871</v>
      </c>
      <c r="B283" s="1" t="str">
        <f t="shared" ca="1" si="20"/>
        <v>Male</v>
      </c>
      <c r="C283" t="str">
        <f ca="1">IF(B283 = "Male", r_fname_m(), IF(B283 = "Female", r_fname_f(), r_choice($N$1:$N$10)))&amp; " " &amp; r_lname()</f>
        <v>Issac Chappell</v>
      </c>
      <c r="D283" t="str">
        <f ca="1">r_integer(0,300)&amp; " " &amp; r_lname()&amp; " "&amp; r_choice($O$1:$O$6)</f>
        <v>66 Aguilar Square</v>
      </c>
      <c r="E283" t="str">
        <f t="shared" ca="1" si="21"/>
        <v>EAST</v>
      </c>
      <c r="F283" t="str">
        <f t="shared" ca="1" si="23"/>
        <v>VIP</v>
      </c>
      <c r="G283" s="1"/>
      <c r="H283" t="str">
        <f t="shared" ca="1" si="22"/>
        <v>NO</v>
      </c>
      <c r="M283" t="str">
        <f t="shared" ca="1" si="24"/>
        <v>insert into Customers values ('cust-271', 'Other', 'Basil Burke', '34 Mckenna Avenue', 'CENTRAL', 'LOW', null, 'NO');</v>
      </c>
    </row>
    <row r="284" spans="1:13" x14ac:dyDescent="0.25">
      <c r="A284" s="1" t="s">
        <v>4872</v>
      </c>
      <c r="B284" s="1" t="str">
        <f t="shared" ca="1" si="20"/>
        <v>Male</v>
      </c>
      <c r="C284" t="str">
        <f ca="1">IF(B284 = "Male", r_fname_m(), IF(B284 = "Female", r_fname_f(), r_choice($N$1:$N$10)))&amp; " " &amp; r_lname()</f>
        <v>Conrad Galindo</v>
      </c>
      <c r="D284" t="str">
        <f ca="1">r_integer(0,300)&amp; " " &amp; r_lname()&amp; " "&amp; r_choice($O$1:$O$6)</f>
        <v>145 Buckley Lane</v>
      </c>
      <c r="E284" t="str">
        <f t="shared" ca="1" si="21"/>
        <v>EAST</v>
      </c>
      <c r="F284" t="str">
        <f t="shared" ca="1" si="23"/>
        <v>MED</v>
      </c>
      <c r="G284" s="1"/>
      <c r="H284" t="str">
        <f t="shared" ca="1" si="22"/>
        <v>NO</v>
      </c>
      <c r="M284" t="str">
        <f t="shared" ca="1" si="24"/>
        <v>insert into Customers values ('cust-272', 'Female', 'Marni Horton', '152 Mccarthy Lane', 'EAST', 'MED', 'crd_081', 'YES');</v>
      </c>
    </row>
    <row r="285" spans="1:13" x14ac:dyDescent="0.25">
      <c r="A285" s="1" t="s">
        <v>4873</v>
      </c>
      <c r="B285" s="1" t="str">
        <f t="shared" ca="1" si="20"/>
        <v>Other</v>
      </c>
      <c r="C285" t="str">
        <f ca="1">IF(B285 = "Male", r_fname_m(), IF(B285 = "Female", r_fname_f(), r_choice($N$1:$N$10)))&amp; " " &amp; r_lname()</f>
        <v>Douglas Howard</v>
      </c>
      <c r="D285" t="str">
        <f ca="1">r_integer(0,300)&amp; " " &amp; r_lname()&amp; " "&amp; r_choice($O$1:$O$6)</f>
        <v>284 Doty Park</v>
      </c>
      <c r="E285" t="str">
        <f t="shared" ca="1" si="21"/>
        <v>EAST</v>
      </c>
      <c r="F285" t="str">
        <f t="shared" ca="1" si="23"/>
        <v>LOW</v>
      </c>
      <c r="G285" s="1"/>
      <c r="H285" t="str">
        <f t="shared" ca="1" si="22"/>
        <v>NO</v>
      </c>
      <c r="M285" t="str">
        <f t="shared" ca="1" si="24"/>
        <v>insert into Customers values ('cust-273', 'Female', 'Kristyn Spielberg', '88 Horn Lane', 'NORTH', 'MED', null, 'YES');</v>
      </c>
    </row>
    <row r="286" spans="1:13" x14ac:dyDescent="0.25">
      <c r="A286" s="1" t="s">
        <v>4874</v>
      </c>
      <c r="B286" s="1" t="str">
        <f t="shared" ca="1" si="20"/>
        <v>Female</v>
      </c>
      <c r="C286" t="str">
        <f ca="1">IF(B286 = "Male", r_fname_m(), IF(B286 = "Female", r_fname_f(), r_choice($N$1:$N$10)))&amp; " " &amp; r_lname()</f>
        <v>Natasha Medrano</v>
      </c>
      <c r="D286" t="str">
        <f ca="1">r_integer(0,300)&amp; " " &amp; r_lname()&amp; " "&amp; r_choice($O$1:$O$6)</f>
        <v>280 Schneider Square</v>
      </c>
      <c r="E286" t="str">
        <f t="shared" ca="1" si="21"/>
        <v>EAST</v>
      </c>
      <c r="F286" t="str">
        <f t="shared" ca="1" si="23"/>
        <v>VIP</v>
      </c>
      <c r="G286" s="1"/>
      <c r="H286" t="str">
        <f t="shared" ca="1" si="22"/>
        <v>NO</v>
      </c>
      <c r="M286" t="str">
        <f t="shared" ca="1" si="24"/>
        <v>insert into Customers values ('cust-274', 'Female', 'Valencia Kauffman', '261 Travis Lane', 'SOUTH', 'HIGH', null, 'YES');</v>
      </c>
    </row>
    <row r="287" spans="1:13" x14ac:dyDescent="0.25">
      <c r="A287" s="1" t="s">
        <v>4875</v>
      </c>
      <c r="B287" s="1" t="str">
        <f t="shared" ca="1" si="20"/>
        <v>Other</v>
      </c>
      <c r="C287" t="str">
        <f ca="1">IF(B287 = "Male", r_fname_m(), IF(B287 = "Female", r_fname_f(), r_choice($N$1:$N$10)))&amp; " " &amp; r_lname()</f>
        <v>Rosaura Rosario</v>
      </c>
      <c r="D287" t="str">
        <f ca="1">r_integer(0,300)&amp; " " &amp; r_lname()&amp; " "&amp; r_choice($O$1:$O$6)</f>
        <v>203 Cagle Lane</v>
      </c>
      <c r="E287" t="str">
        <f t="shared" ca="1" si="21"/>
        <v>EAST</v>
      </c>
      <c r="F287" t="str">
        <f t="shared" ca="1" si="23"/>
        <v>VIP</v>
      </c>
      <c r="G287" s="1" t="s">
        <v>4589</v>
      </c>
      <c r="H287" t="str">
        <f t="shared" ca="1" si="22"/>
        <v>YES</v>
      </c>
      <c r="M287" t="str">
        <f t="shared" ca="1" si="24"/>
        <v>insert into Customers values ('cust-275', 'Male', 'Alberto Cebalos', '224 Connor Square', 'CENTRAL', 'HIGH', 'crd_023', 'NO');</v>
      </c>
    </row>
    <row r="288" spans="1:13" x14ac:dyDescent="0.25">
      <c r="A288" s="1" t="s">
        <v>4876</v>
      </c>
      <c r="B288" s="1" t="str">
        <f t="shared" ca="1" si="20"/>
        <v>Male</v>
      </c>
      <c r="C288" t="str">
        <f ca="1">IF(B288 = "Male", r_fname_m(), IF(B288 = "Female", r_fname_f(), r_choice($N$1:$N$10)))&amp; " " &amp; r_lname()</f>
        <v>Britt Hoff</v>
      </c>
      <c r="D288" t="str">
        <f ca="1">r_integer(0,300)&amp; " " &amp; r_lname()&amp; " "&amp; r_choice($O$1:$O$6)</f>
        <v>195 Munson Avenue</v>
      </c>
      <c r="E288" t="str">
        <f t="shared" ca="1" si="21"/>
        <v>NORTH</v>
      </c>
      <c r="F288" t="str">
        <f t="shared" ca="1" si="23"/>
        <v>LOW</v>
      </c>
      <c r="G288" s="1" t="s">
        <v>4556</v>
      </c>
      <c r="H288" t="str">
        <f t="shared" ca="1" si="22"/>
        <v>YES</v>
      </c>
      <c r="M288" t="str">
        <f t="shared" ca="1" si="24"/>
        <v>insert into Customers values ('cust-276', 'Male', 'Sammie Salomon', '65 Castellanos Park', 'WEST', 'HIGH', 'crd_073', 'NO');</v>
      </c>
    </row>
    <row r="289" spans="1:13" x14ac:dyDescent="0.25">
      <c r="A289" s="1" t="s">
        <v>4877</v>
      </c>
      <c r="B289" s="1" t="str">
        <f t="shared" ca="1" si="20"/>
        <v>Other</v>
      </c>
      <c r="C289" t="str">
        <f ca="1">IF(B289 = "Male", r_fname_m(), IF(B289 = "Female", r_fname_f(), r_choice($N$1:$N$10)))&amp; " " &amp; r_lname()</f>
        <v>Ardis Powell</v>
      </c>
      <c r="D289" t="str">
        <f ca="1">r_integer(0,300)&amp; " " &amp; r_lname()&amp; " "&amp; r_choice($O$1:$O$6)</f>
        <v>218 Ogilvy Street</v>
      </c>
      <c r="E289" t="str">
        <f t="shared" ca="1" si="21"/>
        <v>WEST</v>
      </c>
      <c r="F289" t="str">
        <f t="shared" ca="1" si="23"/>
        <v>MED</v>
      </c>
      <c r="G289" s="1"/>
      <c r="H289" t="str">
        <f t="shared" ca="1" si="22"/>
        <v>NO</v>
      </c>
      <c r="M289" t="str">
        <f t="shared" ca="1" si="24"/>
        <v>insert into Customers values ('cust-277', 'Male', 'Bill Huffman', '10 Lozano Avenue', 'EAST', 'VIP', null, 'NO');</v>
      </c>
    </row>
    <row r="290" spans="1:13" x14ac:dyDescent="0.25">
      <c r="A290" s="1" t="s">
        <v>4878</v>
      </c>
      <c r="B290" s="1" t="str">
        <f t="shared" ca="1" si="20"/>
        <v>Male</v>
      </c>
      <c r="C290" t="str">
        <f ca="1">IF(B290 = "Male", r_fname_m(), IF(B290 = "Female", r_fname_f(), r_choice($N$1:$N$10)))&amp; " " &amp; r_lname()</f>
        <v>Houston Aho</v>
      </c>
      <c r="D290" t="str">
        <f ca="1">r_integer(0,300)&amp; " " &amp; r_lname()&amp; " "&amp; r_choice($O$1:$O$6)</f>
        <v>23 Spence Square</v>
      </c>
      <c r="E290" t="str">
        <f t="shared" ca="1" si="21"/>
        <v>WEST</v>
      </c>
      <c r="F290" t="str">
        <f t="shared" ca="1" si="23"/>
        <v>LOW</v>
      </c>
      <c r="G290" s="1"/>
      <c r="H290" t="str">
        <f t="shared" ca="1" si="22"/>
        <v>YES</v>
      </c>
      <c r="M290" t="str">
        <f t="shared" ca="1" si="24"/>
        <v>insert into Customers values ('cust-278', 'Other', 'Ardis Carver', '47 Gamez Avenue', 'EAST', 'LOW', 'crd_046', 'NO');</v>
      </c>
    </row>
    <row r="291" spans="1:13" x14ac:dyDescent="0.25">
      <c r="A291" s="1" t="s">
        <v>4879</v>
      </c>
      <c r="B291" s="1" t="str">
        <f t="shared" ca="1" si="20"/>
        <v>Female</v>
      </c>
      <c r="C291" t="str">
        <f ca="1">IF(B291 = "Male", r_fname_m(), IF(B291 = "Female", r_fname_f(), r_choice($N$1:$N$10)))&amp; " " &amp; r_lname()</f>
        <v>Britta Holman</v>
      </c>
      <c r="D291" t="str">
        <f ca="1">r_integer(0,300)&amp; " " &amp; r_lname()&amp; " "&amp; r_choice($O$1:$O$6)</f>
        <v>111 Wilkins Lane</v>
      </c>
      <c r="E291" t="str">
        <f t="shared" ca="1" si="21"/>
        <v>CENTRAL</v>
      </c>
      <c r="F291" t="str">
        <f t="shared" ca="1" si="23"/>
        <v>VIP</v>
      </c>
      <c r="G291" s="1" t="s">
        <v>4551</v>
      </c>
      <c r="H291" t="str">
        <f t="shared" ca="1" si="22"/>
        <v>NO</v>
      </c>
      <c r="M291" t="str">
        <f t="shared" ca="1" si="24"/>
        <v>insert into Customers values ('cust-279', 'Male', 'Erwin Corioli', '6 Waller Park', 'NORTH', 'LOW', null, 'NO');</v>
      </c>
    </row>
    <row r="292" spans="1:13" x14ac:dyDescent="0.25">
      <c r="A292" s="1" t="s">
        <v>4880</v>
      </c>
      <c r="B292" s="1" t="str">
        <f t="shared" ca="1" si="20"/>
        <v>Female</v>
      </c>
      <c r="C292" t="str">
        <f ca="1">IF(B292 = "Male", r_fname_m(), IF(B292 = "Female", r_fname_f(), r_choice($N$1:$N$10)))&amp; " " &amp; r_lname()</f>
        <v>Mina Joseph</v>
      </c>
      <c r="D292" t="str">
        <f ca="1">r_integer(0,300)&amp; " " &amp; r_lname()&amp; " "&amp; r_choice($O$1:$O$6)</f>
        <v>79 Brzezinski Square</v>
      </c>
      <c r="E292" t="str">
        <f t="shared" ca="1" si="21"/>
        <v>EAST</v>
      </c>
      <c r="F292" t="str">
        <f t="shared" ca="1" si="23"/>
        <v>VIP</v>
      </c>
      <c r="G292" s="1"/>
      <c r="H292" t="str">
        <f t="shared" ca="1" si="22"/>
        <v>NO</v>
      </c>
      <c r="M292" t="str">
        <f t="shared" ca="1" si="24"/>
        <v>insert into Customers values ('cust-280', 'Male', 'Grover Minford', '154 Bautista Park', 'CENTRAL', 'LOW', null, 'YES');</v>
      </c>
    </row>
    <row r="293" spans="1:13" x14ac:dyDescent="0.25">
      <c r="A293" s="1" t="s">
        <v>4881</v>
      </c>
      <c r="B293" s="1" t="str">
        <f t="shared" ca="1" si="20"/>
        <v>Male</v>
      </c>
      <c r="C293" t="str">
        <f ca="1">IF(B293 = "Male", r_fname_m(), IF(B293 = "Female", r_fname_f(), r_choice($N$1:$N$10)))&amp; " " &amp; r_lname()</f>
        <v>Archibald Castaneda</v>
      </c>
      <c r="D293" t="str">
        <f ca="1">r_integer(0,300)&amp; " " &amp; r_lname()&amp; " "&amp; r_choice($O$1:$O$6)</f>
        <v>64 Irons Square</v>
      </c>
      <c r="E293" t="str">
        <f t="shared" ca="1" si="21"/>
        <v>EAST</v>
      </c>
      <c r="F293" t="str">
        <f t="shared" ca="1" si="23"/>
        <v>VIP</v>
      </c>
      <c r="G293" s="1" t="s">
        <v>4924</v>
      </c>
      <c r="H293" t="str">
        <f t="shared" ca="1" si="22"/>
        <v>YES</v>
      </c>
      <c r="M293" t="str">
        <f t="shared" ca="1" si="24"/>
        <v>insert into Customers values ('cust-281', 'Male', 'Ivan Leal', '57 Rainey Place', 'CENTRAL', 'VIP', null, 'YES');</v>
      </c>
    </row>
    <row r="294" spans="1:13" x14ac:dyDescent="0.25">
      <c r="A294" s="1" t="s">
        <v>4882</v>
      </c>
      <c r="B294" s="1" t="str">
        <f t="shared" ca="1" si="20"/>
        <v>Other</v>
      </c>
      <c r="C294" t="str">
        <f ca="1">IF(B294 = "Male", r_fname_m(), IF(B294 = "Female", r_fname_f(), r_choice($N$1:$N$10)))&amp; " " &amp; r_lname()</f>
        <v>Ardis Shelton</v>
      </c>
      <c r="D294" t="str">
        <f ca="1">r_integer(0,300)&amp; " " &amp; r_lname()&amp; " "&amp; r_choice($O$1:$O$6)</f>
        <v>58 Gore Square</v>
      </c>
      <c r="E294" t="str">
        <f t="shared" ca="1" si="21"/>
        <v>EAST</v>
      </c>
      <c r="F294" t="str">
        <f t="shared" ca="1" si="23"/>
        <v>VIP</v>
      </c>
      <c r="G294" s="1" t="s">
        <v>4932</v>
      </c>
      <c r="H294" t="str">
        <f t="shared" ca="1" si="22"/>
        <v>YES</v>
      </c>
      <c r="M294" t="str">
        <f t="shared" ca="1" si="24"/>
        <v>insert into Customers values ('cust-282', 'Male', 'Issac Chappell', '66 Aguilar Square', 'EAST', 'VIP', null, 'NO');</v>
      </c>
    </row>
    <row r="295" spans="1:13" x14ac:dyDescent="0.25">
      <c r="A295" s="1" t="s">
        <v>4883</v>
      </c>
      <c r="B295" s="1" t="str">
        <f t="shared" ca="1" si="20"/>
        <v>Female</v>
      </c>
      <c r="C295" t="str">
        <f ca="1">IF(B295 = "Male", r_fname_m(), IF(B295 = "Female", r_fname_f(), r_choice($N$1:$N$10)))&amp; " " &amp; r_lname()</f>
        <v>Bruna Rosenberg</v>
      </c>
      <c r="D295" t="str">
        <f ca="1">r_integer(0,300)&amp; " " &amp; r_lname()&amp; " "&amp; r_choice($O$1:$O$6)</f>
        <v>171 Waller Park</v>
      </c>
      <c r="E295" t="str">
        <f t="shared" ca="1" si="21"/>
        <v>EAST</v>
      </c>
      <c r="F295" t="str">
        <f t="shared" ca="1" si="23"/>
        <v>HIGH</v>
      </c>
      <c r="G295" s="1"/>
      <c r="H295" t="str">
        <f t="shared" ca="1" si="22"/>
        <v>YES</v>
      </c>
      <c r="M295" t="str">
        <f t="shared" ca="1" si="24"/>
        <v>insert into Customers values ('cust-283', 'Male', 'Conrad Galindo', '145 Buckley Lane', 'EAST', 'MED', null, 'NO');</v>
      </c>
    </row>
    <row r="296" spans="1:13" x14ac:dyDescent="0.25">
      <c r="A296" s="1" t="s">
        <v>4884</v>
      </c>
      <c r="B296" s="1" t="str">
        <f t="shared" ca="1" si="20"/>
        <v>Female</v>
      </c>
      <c r="C296" t="str">
        <f ca="1">IF(B296 = "Male", r_fname_m(), IF(B296 = "Female", r_fname_f(), r_choice($N$1:$N$10)))&amp; " " &amp; r_lname()</f>
        <v>Neomi Hurst</v>
      </c>
      <c r="D296" t="str">
        <f ca="1">r_integer(0,300)&amp; " " &amp; r_lname()&amp; " "&amp; r_choice($O$1:$O$6)</f>
        <v>276 Bolton Place</v>
      </c>
      <c r="E296" t="str">
        <f t="shared" ca="1" si="21"/>
        <v>WEST</v>
      </c>
      <c r="F296" t="str">
        <f t="shared" ca="1" si="23"/>
        <v>VIP</v>
      </c>
      <c r="G296" s="1"/>
      <c r="H296" t="str">
        <f t="shared" ca="1" si="22"/>
        <v>NO</v>
      </c>
      <c r="M296" t="str">
        <f t="shared" ca="1" si="24"/>
        <v>insert into Customers values ('cust-284', 'Other', 'Douglas Howard', '284 Doty Park', 'EAST', 'LOW', null, 'NO');</v>
      </c>
    </row>
    <row r="297" spans="1:13" x14ac:dyDescent="0.25">
      <c r="A297" s="1" t="s">
        <v>4885</v>
      </c>
      <c r="B297" s="1" t="str">
        <f t="shared" ca="1" si="20"/>
        <v>Female</v>
      </c>
      <c r="C297" t="str">
        <f ca="1">IF(B297 = "Male", r_fname_m(), IF(B297 = "Female", r_fname_f(), r_choice($N$1:$N$10)))&amp; " " &amp; r_lname()</f>
        <v>Johana Chang</v>
      </c>
      <c r="D297" t="str">
        <f ca="1">r_integer(0,300)&amp; " " &amp; r_lname()&amp; " "&amp; r_choice($O$1:$O$6)</f>
        <v>61 Vaughn Park</v>
      </c>
      <c r="E297" t="str">
        <f t="shared" ca="1" si="21"/>
        <v>CENTRAL</v>
      </c>
      <c r="F297" t="str">
        <f t="shared" ca="1" si="23"/>
        <v>HIGH</v>
      </c>
      <c r="G297" s="1"/>
      <c r="H297" t="str">
        <f t="shared" ca="1" si="22"/>
        <v>YES</v>
      </c>
      <c r="M297" t="str">
        <f t="shared" ca="1" si="24"/>
        <v>insert into Customers values ('cust-285', 'Female', 'Natasha Medrano', '280 Schneider Square', 'EAST', 'VIP', null, 'NO');</v>
      </c>
    </row>
    <row r="298" spans="1:13" x14ac:dyDescent="0.25">
      <c r="A298" s="1" t="s">
        <v>4886</v>
      </c>
      <c r="B298" s="1" t="str">
        <f t="shared" ca="1" si="20"/>
        <v>Female</v>
      </c>
      <c r="C298" t="str">
        <f ca="1">IF(B298 = "Male", r_fname_m(), IF(B298 = "Female", r_fname_f(), r_choice($N$1:$N$10)))&amp; " " &amp; r_lname()</f>
        <v>Wilhemina Phipps</v>
      </c>
      <c r="D298" t="str">
        <f ca="1">r_integer(0,300)&amp; " " &amp; r_lname()&amp; " "&amp; r_choice($O$1:$O$6)</f>
        <v>64 Ventura Square</v>
      </c>
      <c r="E298" t="str">
        <f t="shared" ca="1" si="21"/>
        <v>SOUTH</v>
      </c>
      <c r="F298" t="str">
        <f t="shared" ca="1" si="23"/>
        <v>VIP</v>
      </c>
      <c r="G298" s="1"/>
      <c r="H298" t="str">
        <f t="shared" ca="1" si="22"/>
        <v>YES</v>
      </c>
      <c r="M298" t="str">
        <f t="shared" ca="1" si="24"/>
        <v>insert into Customers values ('cust-286', 'Other', 'Rosaura Rosario', '203 Cagle Lane', 'EAST', 'VIP', 'crd_049', 'YES');</v>
      </c>
    </row>
    <row r="299" spans="1:13" x14ac:dyDescent="0.25">
      <c r="A299" s="1" t="s">
        <v>4887</v>
      </c>
      <c r="B299" s="1" t="str">
        <f t="shared" ca="1" si="20"/>
        <v>Male</v>
      </c>
      <c r="C299" t="str">
        <f ca="1">IF(B299 = "Male", r_fname_m(), IF(B299 = "Female", r_fname_f(), r_choice($N$1:$N$10)))&amp; " " &amp; r_lname()</f>
        <v>Stephen Mcmullen</v>
      </c>
      <c r="D299" t="str">
        <f ca="1">r_integer(0,300)&amp; " " &amp; r_lname()&amp; " "&amp; r_choice($O$1:$O$6)</f>
        <v>45 Preston Park</v>
      </c>
      <c r="E299" t="str">
        <f t="shared" ca="1" si="21"/>
        <v>WEST</v>
      </c>
      <c r="F299" t="str">
        <f t="shared" ca="1" si="23"/>
        <v>VIP</v>
      </c>
      <c r="G299" s="1"/>
      <c r="H299" t="str">
        <f t="shared" ca="1" si="22"/>
        <v>YES</v>
      </c>
      <c r="M299" t="str">
        <f t="shared" ca="1" si="24"/>
        <v>insert into Customers values ('cust-287', 'Male', 'Britt Hoff', '195 Munson Avenue', 'NORTH', 'LOW', 'crd_016', 'YES');</v>
      </c>
    </row>
    <row r="300" spans="1:13" x14ac:dyDescent="0.25">
      <c r="A300" s="1" t="s">
        <v>4888</v>
      </c>
      <c r="B300" s="1" t="str">
        <f t="shared" ca="1" si="20"/>
        <v>Female</v>
      </c>
      <c r="C300" t="str">
        <f ca="1">IF(B300 = "Male", r_fname_m(), IF(B300 = "Female", r_fname_f(), r_choice($N$1:$N$10)))&amp; " " &amp; r_lname()</f>
        <v>Tina Leung</v>
      </c>
      <c r="D300" t="str">
        <f ca="1">r_integer(0,300)&amp; " " &amp; r_lname()&amp; " "&amp; r_choice($O$1:$O$6)</f>
        <v>271 Irons Avenue</v>
      </c>
      <c r="E300" t="str">
        <f t="shared" ca="1" si="21"/>
        <v>CENTRAL</v>
      </c>
      <c r="F300" t="str">
        <f t="shared" ca="1" si="23"/>
        <v>VIP</v>
      </c>
      <c r="G300" s="1"/>
      <c r="H300" t="str">
        <f t="shared" ca="1" si="22"/>
        <v>NO</v>
      </c>
      <c r="M300" t="str">
        <f t="shared" ca="1" si="24"/>
        <v>insert into Customers values ('cust-288', 'Other', 'Ardis Powell', '218 Ogilvy Street', 'WEST', 'MED', null, 'NO');</v>
      </c>
    </row>
    <row r="301" spans="1:13" x14ac:dyDescent="0.25">
      <c r="A301" s="1" t="s">
        <v>4908</v>
      </c>
      <c r="B301" s="1" t="str">
        <f t="shared" ca="1" si="20"/>
        <v>Female</v>
      </c>
      <c r="C301" t="str">
        <f ca="1">IF(B301 = "Male", r_fname_m(), IF(B301 = "Female", r_fname_f(), r_choice($N$1:$N$10)))&amp; " " &amp; r_lname()</f>
        <v>Marry Phan</v>
      </c>
      <c r="D301" t="str">
        <f ca="1">r_integer(0,300)&amp; " " &amp; r_lname()&amp; " "&amp; r_choice($O$1:$O$6)</f>
        <v>268 Little Lane</v>
      </c>
      <c r="E301" t="str">
        <f t="shared" ca="1" si="21"/>
        <v>CENTRAL</v>
      </c>
      <c r="F301" t="str">
        <f t="shared" ca="1" si="23"/>
        <v>MED</v>
      </c>
      <c r="G301" s="1" t="s">
        <v>4942</v>
      </c>
      <c r="H301" t="str">
        <f t="shared" ca="1" si="22"/>
        <v>NO</v>
      </c>
      <c r="M301" t="str">
        <f t="shared" ca="1" si="24"/>
        <v>insert into Customers values ('cust-289', 'Male', 'Houston Aho', '23 Spence Square', 'WEST', 'LOW', null, 'YES');</v>
      </c>
    </row>
    <row r="302" spans="1:13" x14ac:dyDescent="0.25">
      <c r="M302" t="str">
        <f t="shared" ca="1" si="24"/>
        <v>insert into Customers values ('cust-290', 'Female', 'Britta Holman', '111 Wilkins Lane', 'CENTRAL', 'VIP', 'crd_011', 'NO');</v>
      </c>
    </row>
    <row r="303" spans="1:13" x14ac:dyDescent="0.25">
      <c r="M303" t="str">
        <f t="shared" ca="1" si="24"/>
        <v>insert into Customers values ('cust-291', 'Female', 'Mina Joseph', '79 Brzezinski Square', 'EAST', 'VIP', null, 'NO');</v>
      </c>
    </row>
    <row r="304" spans="1:13" x14ac:dyDescent="0.25">
      <c r="M304" t="str">
        <f t="shared" ca="1" si="24"/>
        <v>insert into Customers values ('cust-292', 'Male', 'Archibald Castaneda', '64 Irons Square', 'EAST', 'VIP', 'crd_052', 'YES');</v>
      </c>
    </row>
    <row r="305" spans="13:13" x14ac:dyDescent="0.25">
      <c r="M305" t="str">
        <f t="shared" ca="1" si="24"/>
        <v>insert into Customers values ('cust-293', 'Other', 'Ardis Shelton', '58 Gore Square', 'EAST', 'VIP', 'crd_060', 'YES');</v>
      </c>
    </row>
    <row r="306" spans="13:13" x14ac:dyDescent="0.25">
      <c r="M306" t="str">
        <f t="shared" ca="1" si="24"/>
        <v>insert into Customers values ('cust-294', 'Female', 'Bruna Rosenberg', '171 Waller Park', 'EAST', 'HIGH', null, 'YES');</v>
      </c>
    </row>
    <row r="307" spans="13:13" x14ac:dyDescent="0.25">
      <c r="M307" t="str">
        <f t="shared" ca="1" si="24"/>
        <v>insert into Customers values ('cust-295', 'Female', 'Neomi Hurst', '276 Bolton Place', 'WEST', 'VIP', null, 'NO');</v>
      </c>
    </row>
    <row r="308" spans="13:13" x14ac:dyDescent="0.25">
      <c r="M308" t="str">
        <f t="shared" ca="1" si="24"/>
        <v>insert into Customers values ('cust-296', 'Female', 'Johana Chang', '61 Vaughn Park', 'CENTRAL', 'HIGH', null, 'YES');</v>
      </c>
    </row>
    <row r="309" spans="13:13" x14ac:dyDescent="0.25">
      <c r="M309" t="str">
        <f t="shared" ca="1" si="24"/>
        <v>insert into Customers values ('cust-297', 'Female', 'Wilhemina Phipps', '64 Ventura Square', 'SOUTH', 'VIP', null, 'YES');</v>
      </c>
    </row>
    <row r="310" spans="13:13" x14ac:dyDescent="0.25">
      <c r="M310" t="str">
        <f t="shared" ca="1" si="24"/>
        <v>insert into Customers values ('cust-298', 'Male', 'Stephen Mcmullen', '45 Preston Park', 'WEST', 'VIP', null, 'YES');</v>
      </c>
    </row>
    <row r="311" spans="13:13" x14ac:dyDescent="0.25">
      <c r="M311" t="str">
        <f t="shared" ca="1" si="24"/>
        <v>insert into Customers values ('cust-299', 'Female', 'Tina Leung', '271 Irons Avenue', 'CENTRAL', 'VIP', null, 'NO');</v>
      </c>
    </row>
    <row r="312" spans="13:13" x14ac:dyDescent="0.25">
      <c r="M312" t="str">
        <f t="shared" ca="1" si="24"/>
        <v>insert into Customers values ('cust-300', 'Female', 'Marry Phan', '268 Little Lane', 'CENTRAL', 'MED', 'crd_070', 'NO');</v>
      </c>
    </row>
  </sheetData>
  <sortState xmlns:xlrd2="http://schemas.microsoft.com/office/spreadsheetml/2017/richdata2" ref="G2:I301">
    <sortCondition ref="I2:I301"/>
  </sortState>
  <phoneticPr fontId="23" type="noConversion"/>
  <pageMargins left="0.7" right="0.7" top="0.75" bottom="0.75" header="0.3" footer="0.3"/>
  <ignoredErrors>
    <ignoredError sqref="N2 N4 N6 N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832E8-EB2C-4C4E-BBDE-26B63D15FCD9}">
  <dimension ref="A1:K106"/>
  <sheetViews>
    <sheetView zoomScale="85" zoomScaleNormal="85" workbookViewId="0">
      <selection activeCell="D2" sqref="D2"/>
    </sheetView>
  </sheetViews>
  <sheetFormatPr defaultRowHeight="13.2" x14ac:dyDescent="0.25"/>
  <cols>
    <col min="1" max="1" width="10" bestFit="1" customWidth="1"/>
    <col min="3" max="3" width="10.6640625" bestFit="1" customWidth="1"/>
    <col min="4" max="5" width="9.77734375" bestFit="1" customWidth="1"/>
    <col min="10" max="10" width="11" bestFit="1" customWidth="1"/>
  </cols>
  <sheetData>
    <row r="1" spans="1:11" x14ac:dyDescent="0.25">
      <c r="A1" s="1" t="s">
        <v>4541</v>
      </c>
      <c r="B1" t="s">
        <v>4314</v>
      </c>
      <c r="C1" s="1" t="s">
        <v>4889</v>
      </c>
      <c r="D1" s="1" t="s">
        <v>4891</v>
      </c>
      <c r="E1" s="1" t="s">
        <v>4890</v>
      </c>
      <c r="H1" s="1" t="s">
        <v>4916</v>
      </c>
      <c r="J1" s="1" t="s">
        <v>4541</v>
      </c>
      <c r="K1" t="s">
        <v>5399</v>
      </c>
    </row>
    <row r="2" spans="1:11" x14ac:dyDescent="0.25">
      <c r="A2" s="1" t="s">
        <v>4540</v>
      </c>
      <c r="B2">
        <f ca="1">r_integer(0,10000)</f>
        <v>5440</v>
      </c>
      <c r="C2" t="str">
        <f ca="1">r_choice($H$1:$H$2)</f>
        <v>ACTIVE</v>
      </c>
      <c r="D2" s="12">
        <f ca="1">r_date(2018,1,2020,12)</f>
        <v>43215</v>
      </c>
      <c r="E2" s="12">
        <f ca="1">D2+1000</f>
        <v>44215</v>
      </c>
      <c r="H2" s="1" t="s">
        <v>4917</v>
      </c>
      <c r="J2" t="s">
        <v>4314</v>
      </c>
      <c r="K2" t="s">
        <v>5400</v>
      </c>
    </row>
    <row r="3" spans="1:11" x14ac:dyDescent="0.25">
      <c r="A3" s="1" t="s">
        <v>4542</v>
      </c>
      <c r="B3">
        <f t="shared" ref="B3:B66" ca="1" si="0">r_integer(0,10000)</f>
        <v>40</v>
      </c>
      <c r="C3" t="str">
        <f t="shared" ref="C3:C66" ca="1" si="1">r_choice($H$1:$H$2)</f>
        <v>INACTIVE</v>
      </c>
      <c r="D3" s="12">
        <f t="shared" ref="D3:D66" ca="1" si="2">r_date(2018,1,2020,12)</f>
        <v>43929</v>
      </c>
      <c r="E3" s="12">
        <f t="shared" ref="E3:E66" ca="1" si="3">D3+1000</f>
        <v>44929</v>
      </c>
      <c r="J3" s="1" t="s">
        <v>4889</v>
      </c>
      <c r="K3" t="s">
        <v>5399</v>
      </c>
    </row>
    <row r="4" spans="1:11" x14ac:dyDescent="0.25">
      <c r="A4" s="1" t="s">
        <v>4543</v>
      </c>
      <c r="B4">
        <f t="shared" ca="1" si="0"/>
        <v>3364</v>
      </c>
      <c r="C4" t="str">
        <f t="shared" ca="1" si="1"/>
        <v>INACTIVE</v>
      </c>
      <c r="D4" s="12">
        <f t="shared" ca="1" si="2"/>
        <v>43433</v>
      </c>
      <c r="E4" s="12">
        <f t="shared" ca="1" si="3"/>
        <v>44433</v>
      </c>
      <c r="J4" s="1" t="s">
        <v>4891</v>
      </c>
      <c r="K4" t="s">
        <v>5401</v>
      </c>
    </row>
    <row r="5" spans="1:11" x14ac:dyDescent="0.25">
      <c r="A5" s="1" t="s">
        <v>4544</v>
      </c>
      <c r="B5">
        <f t="shared" ca="1" si="0"/>
        <v>1112</v>
      </c>
      <c r="C5" t="str">
        <f t="shared" ca="1" si="1"/>
        <v>INACTIVE</v>
      </c>
      <c r="D5" s="12">
        <f t="shared" ca="1" si="2"/>
        <v>43219</v>
      </c>
      <c r="E5" s="12">
        <f t="shared" ca="1" si="3"/>
        <v>44219</v>
      </c>
      <c r="J5" s="1" t="s">
        <v>4890</v>
      </c>
      <c r="K5" t="s">
        <v>5401</v>
      </c>
    </row>
    <row r="6" spans="1:11" x14ac:dyDescent="0.25">
      <c r="A6" s="1" t="s">
        <v>4545</v>
      </c>
      <c r="B6">
        <f t="shared" ca="1" si="0"/>
        <v>1648</v>
      </c>
      <c r="C6" t="str">
        <f t="shared" ca="1" si="1"/>
        <v>INACTIVE</v>
      </c>
      <c r="D6" s="12">
        <f t="shared" ca="1" si="2"/>
        <v>43428</v>
      </c>
      <c r="E6" s="12">
        <f t="shared" ca="1" si="3"/>
        <v>44428</v>
      </c>
    </row>
    <row r="7" spans="1:11" x14ac:dyDescent="0.25">
      <c r="A7" s="1" t="s">
        <v>4546</v>
      </c>
      <c r="B7">
        <f t="shared" ca="1" si="0"/>
        <v>7605</v>
      </c>
      <c r="C7" t="str">
        <f t="shared" ca="1" si="1"/>
        <v>INACTIVE</v>
      </c>
      <c r="D7" s="12">
        <f t="shared" ca="1" si="2"/>
        <v>44044</v>
      </c>
      <c r="E7" s="12">
        <f t="shared" ca="1" si="3"/>
        <v>45044</v>
      </c>
      <c r="H7" t="str">
        <f ca="1">insertinto(A2:E2,$J$1:$K$5,"Cards")</f>
        <v>insert into Cards values ('crd_001', 5440, 'ACTIVE', '25-Apr-2018', '19-Jan-2021');</v>
      </c>
    </row>
    <row r="8" spans="1:11" x14ac:dyDescent="0.25">
      <c r="A8" s="1" t="s">
        <v>4547</v>
      </c>
      <c r="B8">
        <f t="shared" ca="1" si="0"/>
        <v>6831</v>
      </c>
      <c r="C8" t="str">
        <f t="shared" ca="1" si="1"/>
        <v>ACTIVE</v>
      </c>
      <c r="D8" s="12">
        <f t="shared" ca="1" si="2"/>
        <v>44058</v>
      </c>
      <c r="E8" s="12">
        <f t="shared" ca="1" si="3"/>
        <v>45058</v>
      </c>
      <c r="H8" t="str">
        <f t="shared" ref="H8:H71" ca="1" si="4">insertinto(A3:E3,$J$1:$K$5,"Cards")</f>
        <v>insert into Cards values ('crd_002', 40, 'INACTIVE', '08-Apr-2020', '03-Jan-2023');</v>
      </c>
    </row>
    <row r="9" spans="1:11" x14ac:dyDescent="0.25">
      <c r="A9" s="1" t="s">
        <v>4548</v>
      </c>
      <c r="B9">
        <f t="shared" ca="1" si="0"/>
        <v>7062</v>
      </c>
      <c r="C9" t="str">
        <f t="shared" ca="1" si="1"/>
        <v>INACTIVE</v>
      </c>
      <c r="D9" s="12">
        <f t="shared" ca="1" si="2"/>
        <v>43894</v>
      </c>
      <c r="E9" s="12">
        <f t="shared" ca="1" si="3"/>
        <v>44894</v>
      </c>
      <c r="H9" t="str">
        <f t="shared" ca="1" si="4"/>
        <v>insert into Cards values ('crd_003', 3364, 'INACTIVE', '29-Nov-2018', '25-Aug-2021');</v>
      </c>
    </row>
    <row r="10" spans="1:11" x14ac:dyDescent="0.25">
      <c r="A10" s="1" t="s">
        <v>4549</v>
      </c>
      <c r="B10">
        <f t="shared" ca="1" si="0"/>
        <v>3932</v>
      </c>
      <c r="C10" t="str">
        <f t="shared" ca="1" si="1"/>
        <v>INACTIVE</v>
      </c>
      <c r="D10" s="12">
        <f t="shared" ca="1" si="2"/>
        <v>44043</v>
      </c>
      <c r="E10" s="12">
        <f t="shared" ca="1" si="3"/>
        <v>45043</v>
      </c>
      <c r="H10" t="str">
        <f t="shared" ca="1" si="4"/>
        <v>insert into Cards values ('crd_004', 1112, 'INACTIVE', '29-Apr-2018', '23-Jan-2021');</v>
      </c>
    </row>
    <row r="11" spans="1:11" x14ac:dyDescent="0.25">
      <c r="A11" s="1" t="s">
        <v>4550</v>
      </c>
      <c r="B11">
        <f t="shared" ca="1" si="0"/>
        <v>9090</v>
      </c>
      <c r="C11" t="str">
        <f t="shared" ca="1" si="1"/>
        <v>ACTIVE</v>
      </c>
      <c r="D11" s="12">
        <f t="shared" ca="1" si="2"/>
        <v>43279</v>
      </c>
      <c r="E11" s="12">
        <f t="shared" ca="1" si="3"/>
        <v>44279</v>
      </c>
      <c r="H11" t="str">
        <f t="shared" ca="1" si="4"/>
        <v>insert into Cards values ('crd_005', 1648, 'INACTIVE', '24-Nov-2018', '20-Aug-2021');</v>
      </c>
    </row>
    <row r="12" spans="1:11" x14ac:dyDescent="0.25">
      <c r="A12" s="1" t="s">
        <v>4551</v>
      </c>
      <c r="B12">
        <f t="shared" ca="1" si="0"/>
        <v>4412</v>
      </c>
      <c r="C12" t="str">
        <f t="shared" ca="1" si="1"/>
        <v>INACTIVE</v>
      </c>
      <c r="D12" s="12">
        <f t="shared" ca="1" si="2"/>
        <v>43527</v>
      </c>
      <c r="E12" s="12">
        <f t="shared" ca="1" si="3"/>
        <v>44527</v>
      </c>
      <c r="H12" t="str">
        <f t="shared" ca="1" si="4"/>
        <v>insert into Cards values ('crd_006', 7605, 'INACTIVE', '01-Aug-2020', '28-Apr-2023');</v>
      </c>
    </row>
    <row r="13" spans="1:11" x14ac:dyDescent="0.25">
      <c r="A13" s="1" t="s">
        <v>4552</v>
      </c>
      <c r="B13">
        <f t="shared" ca="1" si="0"/>
        <v>374</v>
      </c>
      <c r="C13" t="str">
        <f t="shared" ca="1" si="1"/>
        <v>INACTIVE</v>
      </c>
      <c r="D13" s="12">
        <f t="shared" ca="1" si="2"/>
        <v>43121</v>
      </c>
      <c r="E13" s="12">
        <f t="shared" ca="1" si="3"/>
        <v>44121</v>
      </c>
      <c r="H13" t="str">
        <f t="shared" ca="1" si="4"/>
        <v>insert into Cards values ('crd_007', 6831, 'ACTIVE', '15-Aug-2020', '12-May-2023');</v>
      </c>
    </row>
    <row r="14" spans="1:11" x14ac:dyDescent="0.25">
      <c r="A14" s="1" t="s">
        <v>4553</v>
      </c>
      <c r="B14">
        <f t="shared" ca="1" si="0"/>
        <v>8768</v>
      </c>
      <c r="C14" t="str">
        <f t="shared" ca="1" si="1"/>
        <v>INACTIVE</v>
      </c>
      <c r="D14" s="12">
        <f t="shared" ca="1" si="2"/>
        <v>43903</v>
      </c>
      <c r="E14" s="12">
        <f t="shared" ca="1" si="3"/>
        <v>44903</v>
      </c>
      <c r="H14" t="str">
        <f t="shared" ca="1" si="4"/>
        <v>insert into Cards values ('crd_008', 7062, 'INACTIVE', '04-Mar-2020', '29-Nov-2022');</v>
      </c>
    </row>
    <row r="15" spans="1:11" x14ac:dyDescent="0.25">
      <c r="A15" s="1" t="s">
        <v>4554</v>
      </c>
      <c r="B15">
        <f t="shared" ca="1" si="0"/>
        <v>7615</v>
      </c>
      <c r="C15" t="str">
        <f t="shared" ca="1" si="1"/>
        <v>ACTIVE</v>
      </c>
      <c r="D15" s="12">
        <f t="shared" ca="1" si="2"/>
        <v>43579</v>
      </c>
      <c r="E15" s="12">
        <f t="shared" ca="1" si="3"/>
        <v>44579</v>
      </c>
      <c r="H15" t="str">
        <f t="shared" ca="1" si="4"/>
        <v>insert into Cards values ('crd_009', 3932, 'INACTIVE', '31-Jul-2020', '27-Apr-2023');</v>
      </c>
    </row>
    <row r="16" spans="1:11" x14ac:dyDescent="0.25">
      <c r="A16" s="1" t="s">
        <v>4555</v>
      </c>
      <c r="B16">
        <f t="shared" ca="1" si="0"/>
        <v>3324</v>
      </c>
      <c r="C16" t="str">
        <f t="shared" ca="1" si="1"/>
        <v>INACTIVE</v>
      </c>
      <c r="D16" s="12">
        <f t="shared" ca="1" si="2"/>
        <v>43725</v>
      </c>
      <c r="E16" s="12">
        <f t="shared" ca="1" si="3"/>
        <v>44725</v>
      </c>
      <c r="H16" t="str">
        <f t="shared" ca="1" si="4"/>
        <v>insert into Cards values ('crd_010', 9090, 'ACTIVE', '28-Jun-2018', '24-Mar-2021');</v>
      </c>
    </row>
    <row r="17" spans="1:8" x14ac:dyDescent="0.25">
      <c r="A17" s="1" t="s">
        <v>4556</v>
      </c>
      <c r="B17">
        <f t="shared" ca="1" si="0"/>
        <v>3106</v>
      </c>
      <c r="C17" t="str">
        <f t="shared" ca="1" si="1"/>
        <v>ACTIVE</v>
      </c>
      <c r="D17" s="12">
        <f t="shared" ca="1" si="2"/>
        <v>43244</v>
      </c>
      <c r="E17" s="12">
        <f t="shared" ca="1" si="3"/>
        <v>44244</v>
      </c>
      <c r="H17" t="str">
        <f t="shared" ca="1" si="4"/>
        <v>insert into Cards values ('crd_011', 4412, 'INACTIVE', '03-Mar-2019', '27-Nov-2021');</v>
      </c>
    </row>
    <row r="18" spans="1:8" x14ac:dyDescent="0.25">
      <c r="A18" s="1" t="s">
        <v>4557</v>
      </c>
      <c r="B18">
        <f t="shared" ca="1" si="0"/>
        <v>4041</v>
      </c>
      <c r="C18" t="str">
        <f t="shared" ca="1" si="1"/>
        <v>ACTIVE</v>
      </c>
      <c r="D18" s="12">
        <f t="shared" ca="1" si="2"/>
        <v>43279</v>
      </c>
      <c r="E18" s="12">
        <f t="shared" ca="1" si="3"/>
        <v>44279</v>
      </c>
      <c r="H18" t="str">
        <f t="shared" ca="1" si="4"/>
        <v>insert into Cards values ('crd_012', 374, 'INACTIVE', '21-Jan-2018', '17-Oct-2020');</v>
      </c>
    </row>
    <row r="19" spans="1:8" x14ac:dyDescent="0.25">
      <c r="A19" s="1" t="s">
        <v>4558</v>
      </c>
      <c r="B19">
        <f t="shared" ca="1" si="0"/>
        <v>3773</v>
      </c>
      <c r="C19" t="str">
        <f t="shared" ca="1" si="1"/>
        <v>INACTIVE</v>
      </c>
      <c r="D19" s="12">
        <f t="shared" ca="1" si="2"/>
        <v>43291</v>
      </c>
      <c r="E19" s="12">
        <f t="shared" ca="1" si="3"/>
        <v>44291</v>
      </c>
      <c r="H19" t="str">
        <f t="shared" ca="1" si="4"/>
        <v>insert into Cards values ('crd_013', 8768, 'INACTIVE', '13-Mar-2020', '08-Dec-2022');</v>
      </c>
    </row>
    <row r="20" spans="1:8" x14ac:dyDescent="0.25">
      <c r="A20" s="1" t="s">
        <v>4559</v>
      </c>
      <c r="B20">
        <f t="shared" ca="1" si="0"/>
        <v>8877</v>
      </c>
      <c r="C20" t="str">
        <f t="shared" ca="1" si="1"/>
        <v>ACTIVE</v>
      </c>
      <c r="D20" s="12">
        <f t="shared" ca="1" si="2"/>
        <v>43654</v>
      </c>
      <c r="E20" s="12">
        <f t="shared" ca="1" si="3"/>
        <v>44654</v>
      </c>
      <c r="H20" t="str">
        <f t="shared" ca="1" si="4"/>
        <v>insert into Cards values ('crd_014', 7615, 'ACTIVE', '24-Apr-2019', '18-Jan-2022');</v>
      </c>
    </row>
    <row r="21" spans="1:8" x14ac:dyDescent="0.25">
      <c r="A21" s="1" t="s">
        <v>4560</v>
      </c>
      <c r="B21">
        <f t="shared" ca="1" si="0"/>
        <v>6427</v>
      </c>
      <c r="C21" t="str">
        <f t="shared" ca="1" si="1"/>
        <v>ACTIVE</v>
      </c>
      <c r="D21" s="12">
        <f t="shared" ca="1" si="2"/>
        <v>44187</v>
      </c>
      <c r="E21" s="12">
        <f t="shared" ca="1" si="3"/>
        <v>45187</v>
      </c>
      <c r="H21" t="str">
        <f t="shared" ca="1" si="4"/>
        <v>insert into Cards values ('crd_015', 3324, 'INACTIVE', '17-Sep-2019', '13-Jun-2022');</v>
      </c>
    </row>
    <row r="22" spans="1:8" x14ac:dyDescent="0.25">
      <c r="A22" s="1" t="s">
        <v>4561</v>
      </c>
      <c r="B22">
        <f t="shared" ca="1" si="0"/>
        <v>2095</v>
      </c>
      <c r="C22" t="str">
        <f t="shared" ca="1" si="1"/>
        <v>INACTIVE</v>
      </c>
      <c r="D22" s="12">
        <f t="shared" ca="1" si="2"/>
        <v>44010</v>
      </c>
      <c r="E22" s="12">
        <f t="shared" ca="1" si="3"/>
        <v>45010</v>
      </c>
      <c r="H22" t="str">
        <f t="shared" ca="1" si="4"/>
        <v>insert into Cards values ('crd_016', 3106, 'ACTIVE', '24-May-2018', '17-Feb-2021');</v>
      </c>
    </row>
    <row r="23" spans="1:8" x14ac:dyDescent="0.25">
      <c r="A23" s="1" t="s">
        <v>4562</v>
      </c>
      <c r="B23">
        <f t="shared" ca="1" si="0"/>
        <v>8923</v>
      </c>
      <c r="C23" t="str">
        <f t="shared" ca="1" si="1"/>
        <v>ACTIVE</v>
      </c>
      <c r="D23" s="12">
        <f t="shared" ca="1" si="2"/>
        <v>43337</v>
      </c>
      <c r="E23" s="12">
        <f t="shared" ca="1" si="3"/>
        <v>44337</v>
      </c>
      <c r="H23" t="str">
        <f t="shared" ca="1" si="4"/>
        <v>insert into Cards values ('crd_017', 4041, 'ACTIVE', '28-Jun-2018', '24-Mar-2021');</v>
      </c>
    </row>
    <row r="24" spans="1:8" x14ac:dyDescent="0.25">
      <c r="A24" s="1" t="s">
        <v>4563</v>
      </c>
      <c r="B24">
        <f t="shared" ca="1" si="0"/>
        <v>4783</v>
      </c>
      <c r="C24" t="str">
        <f t="shared" ca="1" si="1"/>
        <v>ACTIVE</v>
      </c>
      <c r="D24" s="12">
        <f t="shared" ca="1" si="2"/>
        <v>43924</v>
      </c>
      <c r="E24" s="12">
        <f t="shared" ca="1" si="3"/>
        <v>44924</v>
      </c>
      <c r="H24" t="str">
        <f t="shared" ca="1" si="4"/>
        <v>insert into Cards values ('crd_018', 3773, 'INACTIVE', '10-Jul-2018', '05-Apr-2021');</v>
      </c>
    </row>
    <row r="25" spans="1:8" x14ac:dyDescent="0.25">
      <c r="A25" s="1" t="s">
        <v>4564</v>
      </c>
      <c r="B25">
        <f t="shared" ca="1" si="0"/>
        <v>298</v>
      </c>
      <c r="C25" t="str">
        <f t="shared" ca="1" si="1"/>
        <v>INACTIVE</v>
      </c>
      <c r="D25" s="12">
        <f t="shared" ca="1" si="2"/>
        <v>43299</v>
      </c>
      <c r="E25" s="12">
        <f t="shared" ca="1" si="3"/>
        <v>44299</v>
      </c>
      <c r="H25" t="str">
        <f t="shared" ca="1" si="4"/>
        <v>insert into Cards values ('crd_019', 8877, 'ACTIVE', '08-Jul-2019', '03-Apr-2022');</v>
      </c>
    </row>
    <row r="26" spans="1:8" x14ac:dyDescent="0.25">
      <c r="A26" s="1" t="s">
        <v>4565</v>
      </c>
      <c r="B26">
        <f t="shared" ca="1" si="0"/>
        <v>728</v>
      </c>
      <c r="C26" t="str">
        <f t="shared" ca="1" si="1"/>
        <v>ACTIVE</v>
      </c>
      <c r="D26" s="12">
        <f t="shared" ca="1" si="2"/>
        <v>43110</v>
      </c>
      <c r="E26" s="12">
        <f t="shared" ca="1" si="3"/>
        <v>44110</v>
      </c>
      <c r="H26" t="str">
        <f t="shared" ca="1" si="4"/>
        <v>insert into Cards values ('crd_020', 6427, 'ACTIVE', '22-Dec-2020', '18-Sep-2023');</v>
      </c>
    </row>
    <row r="27" spans="1:8" x14ac:dyDescent="0.25">
      <c r="A27" s="1" t="s">
        <v>4566</v>
      </c>
      <c r="B27">
        <f t="shared" ca="1" si="0"/>
        <v>6330</v>
      </c>
      <c r="C27" t="str">
        <f t="shared" ca="1" si="1"/>
        <v>INACTIVE</v>
      </c>
      <c r="D27" s="12">
        <f t="shared" ca="1" si="2"/>
        <v>43181</v>
      </c>
      <c r="E27" s="12">
        <f t="shared" ca="1" si="3"/>
        <v>44181</v>
      </c>
      <c r="H27" t="str">
        <f t="shared" ca="1" si="4"/>
        <v>insert into Cards values ('crd_021', 2095, 'INACTIVE', '28-Jun-2020', '25-Mar-2023');</v>
      </c>
    </row>
    <row r="28" spans="1:8" x14ac:dyDescent="0.25">
      <c r="A28" s="1" t="s">
        <v>4567</v>
      </c>
      <c r="B28">
        <f t="shared" ca="1" si="0"/>
        <v>4221</v>
      </c>
      <c r="C28" t="str">
        <f t="shared" ca="1" si="1"/>
        <v>ACTIVE</v>
      </c>
      <c r="D28" s="12">
        <f t="shared" ca="1" si="2"/>
        <v>44018</v>
      </c>
      <c r="E28" s="12">
        <f t="shared" ca="1" si="3"/>
        <v>45018</v>
      </c>
      <c r="H28" t="str">
        <f t="shared" ca="1" si="4"/>
        <v>insert into Cards values ('crd_022', 8923, 'ACTIVE', '25-Aug-2018', '21-May-2021');</v>
      </c>
    </row>
    <row r="29" spans="1:8" x14ac:dyDescent="0.25">
      <c r="A29" s="1" t="s">
        <v>4568</v>
      </c>
      <c r="B29">
        <f t="shared" ca="1" si="0"/>
        <v>5706</v>
      </c>
      <c r="C29" t="str">
        <f t="shared" ca="1" si="1"/>
        <v>INACTIVE</v>
      </c>
      <c r="D29" s="12">
        <f t="shared" ca="1" si="2"/>
        <v>43263</v>
      </c>
      <c r="E29" s="12">
        <f t="shared" ca="1" si="3"/>
        <v>44263</v>
      </c>
      <c r="H29" t="str">
        <f t="shared" ca="1" si="4"/>
        <v>insert into Cards values ('crd_023', 4783, 'ACTIVE', '03-Apr-2020', '29-Dec-2022');</v>
      </c>
    </row>
    <row r="30" spans="1:8" x14ac:dyDescent="0.25">
      <c r="A30" s="1" t="s">
        <v>4569</v>
      </c>
      <c r="B30">
        <f t="shared" ca="1" si="0"/>
        <v>3135</v>
      </c>
      <c r="C30" t="str">
        <f t="shared" ca="1" si="1"/>
        <v>ACTIVE</v>
      </c>
      <c r="D30" s="12">
        <f t="shared" ca="1" si="2"/>
        <v>44171</v>
      </c>
      <c r="E30" s="12">
        <f t="shared" ca="1" si="3"/>
        <v>45171</v>
      </c>
      <c r="H30" t="str">
        <f t="shared" ca="1" si="4"/>
        <v>insert into Cards values ('crd_024', 298, 'INACTIVE', '18-Jul-2018', '13-Apr-2021');</v>
      </c>
    </row>
    <row r="31" spans="1:8" x14ac:dyDescent="0.25">
      <c r="A31" s="1" t="s">
        <v>4570</v>
      </c>
      <c r="B31">
        <f t="shared" ca="1" si="0"/>
        <v>9430</v>
      </c>
      <c r="C31" t="str">
        <f t="shared" ca="1" si="1"/>
        <v>INACTIVE</v>
      </c>
      <c r="D31" s="12">
        <f t="shared" ca="1" si="2"/>
        <v>43277</v>
      </c>
      <c r="E31" s="12">
        <f t="shared" ca="1" si="3"/>
        <v>44277</v>
      </c>
      <c r="H31" t="str">
        <f t="shared" ca="1" si="4"/>
        <v>insert into Cards values ('crd_025', 728, 'ACTIVE', '10-Jan-2018', '06-Oct-2020');</v>
      </c>
    </row>
    <row r="32" spans="1:8" x14ac:dyDescent="0.25">
      <c r="A32" s="1" t="s">
        <v>4571</v>
      </c>
      <c r="B32">
        <f t="shared" ca="1" si="0"/>
        <v>7794</v>
      </c>
      <c r="C32" t="str">
        <f t="shared" ca="1" si="1"/>
        <v>ACTIVE</v>
      </c>
      <c r="D32" s="12">
        <f t="shared" ca="1" si="2"/>
        <v>43587</v>
      </c>
      <c r="E32" s="12">
        <f t="shared" ca="1" si="3"/>
        <v>44587</v>
      </c>
      <c r="H32" t="str">
        <f t="shared" ca="1" si="4"/>
        <v>insert into Cards values ('crd_026', 6330, 'INACTIVE', '22-Mar-2018', '16-Dec-2020');</v>
      </c>
    </row>
    <row r="33" spans="1:8" x14ac:dyDescent="0.25">
      <c r="A33" s="1" t="s">
        <v>4572</v>
      </c>
      <c r="B33">
        <f t="shared" ca="1" si="0"/>
        <v>5354</v>
      </c>
      <c r="C33" t="str">
        <f t="shared" ca="1" si="1"/>
        <v>ACTIVE</v>
      </c>
      <c r="D33" s="12">
        <f t="shared" ca="1" si="2"/>
        <v>43339</v>
      </c>
      <c r="E33" s="12">
        <f t="shared" ca="1" si="3"/>
        <v>44339</v>
      </c>
      <c r="H33" t="str">
        <f t="shared" ca="1" si="4"/>
        <v>insert into Cards values ('crd_027', 4221, 'ACTIVE', '06-Jul-2020', '02-Apr-2023');</v>
      </c>
    </row>
    <row r="34" spans="1:8" x14ac:dyDescent="0.25">
      <c r="A34" s="1" t="s">
        <v>4573</v>
      </c>
      <c r="B34">
        <f t="shared" ca="1" si="0"/>
        <v>6480</v>
      </c>
      <c r="C34" t="str">
        <f t="shared" ca="1" si="1"/>
        <v>ACTIVE</v>
      </c>
      <c r="D34" s="12">
        <f t="shared" ca="1" si="2"/>
        <v>43535</v>
      </c>
      <c r="E34" s="12">
        <f t="shared" ca="1" si="3"/>
        <v>44535</v>
      </c>
      <c r="H34" t="str">
        <f t="shared" ca="1" si="4"/>
        <v>insert into Cards values ('crd_028', 5706, 'INACTIVE', '12-Jun-2018', '08-Mar-2021');</v>
      </c>
    </row>
    <row r="35" spans="1:8" x14ac:dyDescent="0.25">
      <c r="A35" s="1" t="s">
        <v>4574</v>
      </c>
      <c r="B35">
        <f t="shared" ca="1" si="0"/>
        <v>9590</v>
      </c>
      <c r="C35" t="str">
        <f t="shared" ca="1" si="1"/>
        <v>ACTIVE</v>
      </c>
      <c r="D35" s="12">
        <f t="shared" ca="1" si="2"/>
        <v>43975</v>
      </c>
      <c r="E35" s="12">
        <f t="shared" ca="1" si="3"/>
        <v>44975</v>
      </c>
      <c r="H35" t="str">
        <f t="shared" ca="1" si="4"/>
        <v>insert into Cards values ('crd_029', 3135, 'ACTIVE', '06-Dec-2020', '02-Sep-2023');</v>
      </c>
    </row>
    <row r="36" spans="1:8" x14ac:dyDescent="0.25">
      <c r="A36" s="1" t="s">
        <v>4575</v>
      </c>
      <c r="B36">
        <f t="shared" ca="1" si="0"/>
        <v>1563</v>
      </c>
      <c r="C36" t="str">
        <f t="shared" ca="1" si="1"/>
        <v>INACTIVE</v>
      </c>
      <c r="D36" s="12">
        <f t="shared" ca="1" si="2"/>
        <v>44144</v>
      </c>
      <c r="E36" s="12">
        <f t="shared" ca="1" si="3"/>
        <v>45144</v>
      </c>
      <c r="H36" t="str">
        <f t="shared" ca="1" si="4"/>
        <v>insert into Cards values ('crd_030', 9430, 'INACTIVE', '26-Jun-2018', '22-Mar-2021');</v>
      </c>
    </row>
    <row r="37" spans="1:8" x14ac:dyDescent="0.25">
      <c r="A37" s="1" t="s">
        <v>4576</v>
      </c>
      <c r="B37">
        <f t="shared" ca="1" si="0"/>
        <v>735</v>
      </c>
      <c r="C37" t="str">
        <f t="shared" ca="1" si="1"/>
        <v>ACTIVE</v>
      </c>
      <c r="D37" s="12">
        <f t="shared" ca="1" si="2"/>
        <v>43975</v>
      </c>
      <c r="E37" s="12">
        <f t="shared" ca="1" si="3"/>
        <v>44975</v>
      </c>
      <c r="H37" t="str">
        <f t="shared" ca="1" si="4"/>
        <v>insert into Cards values ('crd_031', 7794, 'ACTIVE', '02-May-2019', '26-Jan-2022');</v>
      </c>
    </row>
    <row r="38" spans="1:8" x14ac:dyDescent="0.25">
      <c r="A38" s="1" t="s">
        <v>4577</v>
      </c>
      <c r="B38">
        <f t="shared" ca="1" si="0"/>
        <v>9186</v>
      </c>
      <c r="C38" t="str">
        <f t="shared" ca="1" si="1"/>
        <v>INACTIVE</v>
      </c>
      <c r="D38" s="12">
        <f t="shared" ca="1" si="2"/>
        <v>43590</v>
      </c>
      <c r="E38" s="12">
        <f t="shared" ca="1" si="3"/>
        <v>44590</v>
      </c>
      <c r="H38" t="str">
        <f t="shared" ca="1" si="4"/>
        <v>insert into Cards values ('crd_032', 5354, 'ACTIVE', '27-Aug-2018', '23-May-2021');</v>
      </c>
    </row>
    <row r="39" spans="1:8" x14ac:dyDescent="0.25">
      <c r="A39" s="1" t="s">
        <v>4578</v>
      </c>
      <c r="B39">
        <f t="shared" ca="1" si="0"/>
        <v>6179</v>
      </c>
      <c r="C39" t="str">
        <f t="shared" ca="1" si="1"/>
        <v>INACTIVE</v>
      </c>
      <c r="D39" s="12">
        <f t="shared" ca="1" si="2"/>
        <v>43188</v>
      </c>
      <c r="E39" s="12">
        <f t="shared" ca="1" si="3"/>
        <v>44188</v>
      </c>
      <c r="H39" t="str">
        <f t="shared" ca="1" si="4"/>
        <v>insert into Cards values ('crd_033', 6480, 'ACTIVE', '11-Mar-2019', '05-Dec-2021');</v>
      </c>
    </row>
    <row r="40" spans="1:8" x14ac:dyDescent="0.25">
      <c r="A40" s="1" t="s">
        <v>4579</v>
      </c>
      <c r="B40">
        <f t="shared" ca="1" si="0"/>
        <v>8284</v>
      </c>
      <c r="C40" t="str">
        <f t="shared" ca="1" si="1"/>
        <v>INACTIVE</v>
      </c>
      <c r="D40" s="12">
        <f t="shared" ca="1" si="2"/>
        <v>43339</v>
      </c>
      <c r="E40" s="12">
        <f t="shared" ca="1" si="3"/>
        <v>44339</v>
      </c>
      <c r="H40" t="str">
        <f t="shared" ca="1" si="4"/>
        <v>insert into Cards values ('crd_034', 9590, 'ACTIVE', '24-May-2020', '18-Feb-2023');</v>
      </c>
    </row>
    <row r="41" spans="1:8" x14ac:dyDescent="0.25">
      <c r="A41" s="1" t="s">
        <v>4580</v>
      </c>
      <c r="B41">
        <f t="shared" ca="1" si="0"/>
        <v>9577</v>
      </c>
      <c r="C41" t="str">
        <f t="shared" ca="1" si="1"/>
        <v>INACTIVE</v>
      </c>
      <c r="D41" s="12">
        <f t="shared" ca="1" si="2"/>
        <v>43359</v>
      </c>
      <c r="E41" s="12">
        <f t="shared" ca="1" si="3"/>
        <v>44359</v>
      </c>
      <c r="H41" t="str">
        <f t="shared" ca="1" si="4"/>
        <v>insert into Cards values ('crd_035', 1563, 'INACTIVE', '09-Nov-2020', '06-Aug-2023');</v>
      </c>
    </row>
    <row r="42" spans="1:8" x14ac:dyDescent="0.25">
      <c r="A42" s="1" t="s">
        <v>4581</v>
      </c>
      <c r="B42">
        <f t="shared" ca="1" si="0"/>
        <v>288</v>
      </c>
      <c r="C42" t="str">
        <f t="shared" ca="1" si="1"/>
        <v>ACTIVE</v>
      </c>
      <c r="D42" s="12">
        <f t="shared" ca="1" si="2"/>
        <v>43582</v>
      </c>
      <c r="E42" s="12">
        <f t="shared" ca="1" si="3"/>
        <v>44582</v>
      </c>
      <c r="H42" t="str">
        <f t="shared" ca="1" si="4"/>
        <v>insert into Cards values ('crd_036', 735, 'ACTIVE', '24-May-2020', '18-Feb-2023');</v>
      </c>
    </row>
    <row r="43" spans="1:8" x14ac:dyDescent="0.25">
      <c r="A43" s="1" t="s">
        <v>4582</v>
      </c>
      <c r="B43">
        <f t="shared" ca="1" si="0"/>
        <v>1654</v>
      </c>
      <c r="C43" t="str">
        <f t="shared" ca="1" si="1"/>
        <v>INACTIVE</v>
      </c>
      <c r="D43" s="12">
        <f t="shared" ca="1" si="2"/>
        <v>43750</v>
      </c>
      <c r="E43" s="12">
        <f t="shared" ca="1" si="3"/>
        <v>44750</v>
      </c>
      <c r="H43" t="str">
        <f t="shared" ca="1" si="4"/>
        <v>insert into Cards values ('crd_037', 9186, 'INACTIVE', '05-May-2019', '29-Jan-2022');</v>
      </c>
    </row>
    <row r="44" spans="1:8" x14ac:dyDescent="0.25">
      <c r="A44" s="1" t="s">
        <v>4583</v>
      </c>
      <c r="B44">
        <f t="shared" ca="1" si="0"/>
        <v>4529</v>
      </c>
      <c r="C44" t="str">
        <f t="shared" ca="1" si="1"/>
        <v>INACTIVE</v>
      </c>
      <c r="D44" s="12">
        <f t="shared" ca="1" si="2"/>
        <v>43941</v>
      </c>
      <c r="E44" s="12">
        <f t="shared" ca="1" si="3"/>
        <v>44941</v>
      </c>
      <c r="H44" t="str">
        <f t="shared" ca="1" si="4"/>
        <v>insert into Cards values ('crd_038', 6179, 'INACTIVE', '29-Mar-2018', '23-Dec-2020');</v>
      </c>
    </row>
    <row r="45" spans="1:8" x14ac:dyDescent="0.25">
      <c r="A45" s="1" t="s">
        <v>4584</v>
      </c>
      <c r="B45">
        <f t="shared" ca="1" si="0"/>
        <v>6521</v>
      </c>
      <c r="C45" t="str">
        <f t="shared" ca="1" si="1"/>
        <v>ACTIVE</v>
      </c>
      <c r="D45" s="12">
        <f t="shared" ca="1" si="2"/>
        <v>43600</v>
      </c>
      <c r="E45" s="12">
        <f t="shared" ca="1" si="3"/>
        <v>44600</v>
      </c>
      <c r="H45" t="str">
        <f t="shared" ca="1" si="4"/>
        <v>insert into Cards values ('crd_039', 8284, 'INACTIVE', '27-Aug-2018', '23-May-2021');</v>
      </c>
    </row>
    <row r="46" spans="1:8" x14ac:dyDescent="0.25">
      <c r="A46" s="1" t="s">
        <v>4585</v>
      </c>
      <c r="B46">
        <f t="shared" ca="1" si="0"/>
        <v>7217</v>
      </c>
      <c r="C46" t="str">
        <f t="shared" ca="1" si="1"/>
        <v>ACTIVE</v>
      </c>
      <c r="D46" s="12">
        <f t="shared" ca="1" si="2"/>
        <v>43132</v>
      </c>
      <c r="E46" s="12">
        <f t="shared" ca="1" si="3"/>
        <v>44132</v>
      </c>
      <c r="H46" t="str">
        <f t="shared" ca="1" si="4"/>
        <v>insert into Cards values ('crd_040', 9577, 'INACTIVE', '16-Sep-2018', '12-Jun-2021');</v>
      </c>
    </row>
    <row r="47" spans="1:8" x14ac:dyDescent="0.25">
      <c r="A47" s="1" t="s">
        <v>4586</v>
      </c>
      <c r="B47">
        <f t="shared" ca="1" si="0"/>
        <v>1337</v>
      </c>
      <c r="C47" t="str">
        <f t="shared" ca="1" si="1"/>
        <v>ACTIVE</v>
      </c>
      <c r="D47" s="12">
        <f t="shared" ca="1" si="2"/>
        <v>43177</v>
      </c>
      <c r="E47" s="12">
        <f t="shared" ca="1" si="3"/>
        <v>44177</v>
      </c>
      <c r="H47" t="str">
        <f t="shared" ca="1" si="4"/>
        <v>insert into Cards values ('crd_041', 288, 'ACTIVE', '27-Apr-2019', '21-Jan-2022');</v>
      </c>
    </row>
    <row r="48" spans="1:8" x14ac:dyDescent="0.25">
      <c r="A48" s="1" t="s">
        <v>4587</v>
      </c>
      <c r="B48">
        <f t="shared" ca="1" si="0"/>
        <v>9768</v>
      </c>
      <c r="C48" t="str">
        <f t="shared" ca="1" si="1"/>
        <v>INACTIVE</v>
      </c>
      <c r="D48" s="12">
        <f t="shared" ca="1" si="2"/>
        <v>43476</v>
      </c>
      <c r="E48" s="12">
        <f t="shared" ca="1" si="3"/>
        <v>44476</v>
      </c>
      <c r="H48" t="str">
        <f t="shared" ca="1" si="4"/>
        <v>insert into Cards values ('crd_042', 1654, 'INACTIVE', '12-Oct-2019', '08-Jul-2022');</v>
      </c>
    </row>
    <row r="49" spans="1:8" x14ac:dyDescent="0.25">
      <c r="A49" s="1" t="s">
        <v>4588</v>
      </c>
      <c r="B49">
        <f t="shared" ca="1" si="0"/>
        <v>7931</v>
      </c>
      <c r="C49" t="str">
        <f t="shared" ca="1" si="1"/>
        <v>INACTIVE</v>
      </c>
      <c r="D49" s="12">
        <f t="shared" ca="1" si="2"/>
        <v>43964</v>
      </c>
      <c r="E49" s="12">
        <f t="shared" ca="1" si="3"/>
        <v>44964</v>
      </c>
      <c r="H49" t="str">
        <f t="shared" ca="1" si="4"/>
        <v>insert into Cards values ('crd_043', 4529, 'INACTIVE', '20-Apr-2020', '15-Jan-2023');</v>
      </c>
    </row>
    <row r="50" spans="1:8" x14ac:dyDescent="0.25">
      <c r="A50" s="1" t="s">
        <v>4589</v>
      </c>
      <c r="B50">
        <f t="shared" ca="1" si="0"/>
        <v>389</v>
      </c>
      <c r="C50" t="str">
        <f t="shared" ca="1" si="1"/>
        <v>ACTIVE</v>
      </c>
      <c r="D50" s="12">
        <f t="shared" ca="1" si="2"/>
        <v>44144</v>
      </c>
      <c r="E50" s="12">
        <f t="shared" ca="1" si="3"/>
        <v>45144</v>
      </c>
      <c r="H50" t="str">
        <f t="shared" ca="1" si="4"/>
        <v>insert into Cards values ('crd_044', 6521, 'ACTIVE', '15-May-2019', '08-Feb-2022');</v>
      </c>
    </row>
    <row r="51" spans="1:8" x14ac:dyDescent="0.25">
      <c r="A51" s="1" t="s">
        <v>4922</v>
      </c>
      <c r="B51">
        <f t="shared" ca="1" si="0"/>
        <v>9652</v>
      </c>
      <c r="C51" t="str">
        <f t="shared" ca="1" si="1"/>
        <v>INACTIVE</v>
      </c>
      <c r="D51" s="12">
        <f t="shared" ca="1" si="2"/>
        <v>44175</v>
      </c>
      <c r="E51" s="12">
        <f t="shared" ca="1" si="3"/>
        <v>45175</v>
      </c>
      <c r="H51" t="str">
        <f t="shared" ca="1" si="4"/>
        <v>insert into Cards values ('crd_045', 7217, 'ACTIVE', '01-Feb-2018', '28-Oct-2020');</v>
      </c>
    </row>
    <row r="52" spans="1:8" x14ac:dyDescent="0.25">
      <c r="A52" s="1" t="s">
        <v>4923</v>
      </c>
      <c r="B52">
        <f t="shared" ca="1" si="0"/>
        <v>9984</v>
      </c>
      <c r="C52" t="str">
        <f t="shared" ca="1" si="1"/>
        <v>INACTIVE</v>
      </c>
      <c r="D52" s="12">
        <f t="shared" ca="1" si="2"/>
        <v>43482</v>
      </c>
      <c r="E52" s="12">
        <f t="shared" ca="1" si="3"/>
        <v>44482</v>
      </c>
      <c r="H52" t="str">
        <f t="shared" ca="1" si="4"/>
        <v>insert into Cards values ('crd_046', 1337, 'ACTIVE', '18-Mar-2018', '12-Dec-2020');</v>
      </c>
    </row>
    <row r="53" spans="1:8" x14ac:dyDescent="0.25">
      <c r="A53" s="1" t="s">
        <v>4924</v>
      </c>
      <c r="B53">
        <f t="shared" ca="1" si="0"/>
        <v>2312</v>
      </c>
      <c r="C53" t="str">
        <f t="shared" ca="1" si="1"/>
        <v>ACTIVE</v>
      </c>
      <c r="D53" s="12">
        <f t="shared" ca="1" si="2"/>
        <v>43181</v>
      </c>
      <c r="E53" s="12">
        <f t="shared" ca="1" si="3"/>
        <v>44181</v>
      </c>
      <c r="H53" t="str">
        <f t="shared" ca="1" si="4"/>
        <v>insert into Cards values ('crd_047', 9768, 'INACTIVE', '11-Jan-2019', '07-Oct-2021');</v>
      </c>
    </row>
    <row r="54" spans="1:8" x14ac:dyDescent="0.25">
      <c r="A54" s="1" t="s">
        <v>4925</v>
      </c>
      <c r="B54">
        <f t="shared" ca="1" si="0"/>
        <v>9610</v>
      </c>
      <c r="C54" t="str">
        <f t="shared" ca="1" si="1"/>
        <v>INACTIVE</v>
      </c>
      <c r="D54" s="12">
        <f t="shared" ca="1" si="2"/>
        <v>43587</v>
      </c>
      <c r="E54" s="12">
        <f t="shared" ca="1" si="3"/>
        <v>44587</v>
      </c>
      <c r="H54" t="str">
        <f t="shared" ca="1" si="4"/>
        <v>insert into Cards values ('crd_048', 7931, 'INACTIVE', '13-May-2020', '07-Feb-2023');</v>
      </c>
    </row>
    <row r="55" spans="1:8" x14ac:dyDescent="0.25">
      <c r="A55" s="1" t="s">
        <v>4926</v>
      </c>
      <c r="B55">
        <f t="shared" ca="1" si="0"/>
        <v>9550</v>
      </c>
      <c r="C55" t="str">
        <f t="shared" ca="1" si="1"/>
        <v>ACTIVE</v>
      </c>
      <c r="D55" s="12">
        <f t="shared" ca="1" si="2"/>
        <v>44173</v>
      </c>
      <c r="E55" s="12">
        <f t="shared" ca="1" si="3"/>
        <v>45173</v>
      </c>
      <c r="H55" t="str">
        <f t="shared" ca="1" si="4"/>
        <v>insert into Cards values ('crd_049', 389, 'ACTIVE', '09-Nov-2020', '06-Aug-2023');</v>
      </c>
    </row>
    <row r="56" spans="1:8" x14ac:dyDescent="0.25">
      <c r="A56" s="1" t="s">
        <v>4927</v>
      </c>
      <c r="B56">
        <f t="shared" ca="1" si="0"/>
        <v>1207</v>
      </c>
      <c r="C56" t="str">
        <f t="shared" ca="1" si="1"/>
        <v>INACTIVE</v>
      </c>
      <c r="D56" s="12">
        <f t="shared" ca="1" si="2"/>
        <v>43166</v>
      </c>
      <c r="E56" s="12">
        <f t="shared" ca="1" si="3"/>
        <v>44166</v>
      </c>
      <c r="H56" t="str">
        <f t="shared" ca="1" si="4"/>
        <v>insert into Cards values ('crd_050', 9652, 'INACTIVE', '10-Dec-2020', '06-Sep-2023');</v>
      </c>
    </row>
    <row r="57" spans="1:8" x14ac:dyDescent="0.25">
      <c r="A57" s="1" t="s">
        <v>4928</v>
      </c>
      <c r="B57">
        <f t="shared" ca="1" si="0"/>
        <v>6160</v>
      </c>
      <c r="C57" t="str">
        <f t="shared" ca="1" si="1"/>
        <v>INACTIVE</v>
      </c>
      <c r="D57" s="12">
        <f t="shared" ca="1" si="2"/>
        <v>43417</v>
      </c>
      <c r="E57" s="12">
        <f t="shared" ca="1" si="3"/>
        <v>44417</v>
      </c>
      <c r="H57" t="str">
        <f t="shared" ca="1" si="4"/>
        <v>insert into Cards values ('crd_051', 9984, 'INACTIVE', '17-Jan-2019', '13-Oct-2021');</v>
      </c>
    </row>
    <row r="58" spans="1:8" x14ac:dyDescent="0.25">
      <c r="A58" s="1" t="s">
        <v>4929</v>
      </c>
      <c r="B58">
        <f t="shared" ca="1" si="0"/>
        <v>7283</v>
      </c>
      <c r="C58" t="str">
        <f t="shared" ca="1" si="1"/>
        <v>ACTIVE</v>
      </c>
      <c r="D58" s="12">
        <f t="shared" ca="1" si="2"/>
        <v>43598</v>
      </c>
      <c r="E58" s="12">
        <f t="shared" ca="1" si="3"/>
        <v>44598</v>
      </c>
      <c r="H58" t="str">
        <f t="shared" ca="1" si="4"/>
        <v>insert into Cards values ('crd_052', 2312, 'ACTIVE', '22-Mar-2018', '16-Dec-2020');</v>
      </c>
    </row>
    <row r="59" spans="1:8" x14ac:dyDescent="0.25">
      <c r="A59" s="1" t="s">
        <v>4930</v>
      </c>
      <c r="B59">
        <f t="shared" ca="1" si="0"/>
        <v>2017</v>
      </c>
      <c r="C59" t="str">
        <f t="shared" ca="1" si="1"/>
        <v>INACTIVE</v>
      </c>
      <c r="D59" s="12">
        <f t="shared" ca="1" si="2"/>
        <v>43313</v>
      </c>
      <c r="E59" s="12">
        <f t="shared" ca="1" si="3"/>
        <v>44313</v>
      </c>
      <c r="H59" t="str">
        <f t="shared" ca="1" si="4"/>
        <v>insert into Cards values ('crd_053', 9610, 'INACTIVE', '02-May-2019', '26-Jan-2022');</v>
      </c>
    </row>
    <row r="60" spans="1:8" x14ac:dyDescent="0.25">
      <c r="A60" s="1" t="s">
        <v>4931</v>
      </c>
      <c r="B60">
        <f t="shared" ca="1" si="0"/>
        <v>3038</v>
      </c>
      <c r="C60" t="str">
        <f t="shared" ca="1" si="1"/>
        <v>INACTIVE</v>
      </c>
      <c r="D60" s="12">
        <f t="shared" ca="1" si="2"/>
        <v>43738</v>
      </c>
      <c r="E60" s="12">
        <f t="shared" ca="1" si="3"/>
        <v>44738</v>
      </c>
      <c r="H60" t="str">
        <f t="shared" ca="1" si="4"/>
        <v>insert into Cards values ('crd_054', 9550, 'ACTIVE', '08-Dec-2020', '04-Sep-2023');</v>
      </c>
    </row>
    <row r="61" spans="1:8" x14ac:dyDescent="0.25">
      <c r="A61" s="1" t="s">
        <v>4932</v>
      </c>
      <c r="B61">
        <f t="shared" ca="1" si="0"/>
        <v>8481</v>
      </c>
      <c r="C61" t="str">
        <f t="shared" ca="1" si="1"/>
        <v>INACTIVE</v>
      </c>
      <c r="D61" s="12">
        <f t="shared" ca="1" si="2"/>
        <v>43361</v>
      </c>
      <c r="E61" s="12">
        <f t="shared" ca="1" si="3"/>
        <v>44361</v>
      </c>
      <c r="H61" t="str">
        <f t="shared" ca="1" si="4"/>
        <v>insert into Cards values ('crd_055', 1207, 'INACTIVE', '07-Mar-2018', '01-Dec-2020');</v>
      </c>
    </row>
    <row r="62" spans="1:8" x14ac:dyDescent="0.25">
      <c r="A62" s="1" t="s">
        <v>4933</v>
      </c>
      <c r="B62">
        <f t="shared" ca="1" si="0"/>
        <v>9768</v>
      </c>
      <c r="C62" t="str">
        <f t="shared" ca="1" si="1"/>
        <v>ACTIVE</v>
      </c>
      <c r="D62" s="12">
        <f t="shared" ca="1" si="2"/>
        <v>44136</v>
      </c>
      <c r="E62" s="12">
        <f t="shared" ca="1" si="3"/>
        <v>45136</v>
      </c>
      <c r="H62" t="str">
        <f t="shared" ca="1" si="4"/>
        <v>insert into Cards values ('crd_056', 6160, 'INACTIVE', '13-Nov-2018', '09-Aug-2021');</v>
      </c>
    </row>
    <row r="63" spans="1:8" x14ac:dyDescent="0.25">
      <c r="A63" s="1" t="s">
        <v>4934</v>
      </c>
      <c r="B63">
        <f t="shared" ca="1" si="0"/>
        <v>7009</v>
      </c>
      <c r="C63" t="str">
        <f t="shared" ca="1" si="1"/>
        <v>INACTIVE</v>
      </c>
      <c r="D63" s="12">
        <f t="shared" ca="1" si="2"/>
        <v>43522</v>
      </c>
      <c r="E63" s="12">
        <f t="shared" ca="1" si="3"/>
        <v>44522</v>
      </c>
      <c r="H63" t="str">
        <f t="shared" ca="1" si="4"/>
        <v>insert into Cards values ('crd_057', 7283, 'ACTIVE', '13-May-2019', '06-Feb-2022');</v>
      </c>
    </row>
    <row r="64" spans="1:8" x14ac:dyDescent="0.25">
      <c r="A64" s="1" t="s">
        <v>4935</v>
      </c>
      <c r="B64">
        <f t="shared" ca="1" si="0"/>
        <v>593</v>
      </c>
      <c r="C64" t="str">
        <f t="shared" ca="1" si="1"/>
        <v>ACTIVE</v>
      </c>
      <c r="D64" s="12">
        <f t="shared" ca="1" si="2"/>
        <v>43794</v>
      </c>
      <c r="E64" s="12">
        <f t="shared" ca="1" si="3"/>
        <v>44794</v>
      </c>
      <c r="H64" t="str">
        <f t="shared" ca="1" si="4"/>
        <v>insert into Cards values ('crd_058', 2017, 'INACTIVE', '01-Aug-2018', '27-Apr-2021');</v>
      </c>
    </row>
    <row r="65" spans="1:8" x14ac:dyDescent="0.25">
      <c r="A65" s="1" t="s">
        <v>4936</v>
      </c>
      <c r="B65">
        <f t="shared" ca="1" si="0"/>
        <v>2448</v>
      </c>
      <c r="C65" t="str">
        <f t="shared" ca="1" si="1"/>
        <v>ACTIVE</v>
      </c>
      <c r="D65" s="12">
        <f t="shared" ca="1" si="2"/>
        <v>43834</v>
      </c>
      <c r="E65" s="12">
        <f t="shared" ca="1" si="3"/>
        <v>44834</v>
      </c>
      <c r="H65" t="str">
        <f t="shared" ca="1" si="4"/>
        <v>insert into Cards values ('crd_059', 3038, 'INACTIVE', '30-Sep-2019', '26-Jun-2022');</v>
      </c>
    </row>
    <row r="66" spans="1:8" x14ac:dyDescent="0.25">
      <c r="A66" s="1" t="s">
        <v>4937</v>
      </c>
      <c r="B66">
        <f t="shared" ca="1" si="0"/>
        <v>894</v>
      </c>
      <c r="C66" t="str">
        <f t="shared" ca="1" si="1"/>
        <v>INACTIVE</v>
      </c>
      <c r="D66" s="12">
        <f t="shared" ca="1" si="2"/>
        <v>43954</v>
      </c>
      <c r="E66" s="12">
        <f t="shared" ca="1" si="3"/>
        <v>44954</v>
      </c>
      <c r="H66" t="str">
        <f t="shared" ca="1" si="4"/>
        <v>insert into Cards values ('crd_060', 8481, 'INACTIVE', '18-Sep-2018', '14-Jun-2021');</v>
      </c>
    </row>
    <row r="67" spans="1:8" x14ac:dyDescent="0.25">
      <c r="A67" s="1" t="s">
        <v>4938</v>
      </c>
      <c r="B67">
        <f t="shared" ref="B67:B101" ca="1" si="5">r_integer(0,10000)</f>
        <v>2316</v>
      </c>
      <c r="C67" t="str">
        <f t="shared" ref="C67:C101" ca="1" si="6">r_choice($H$1:$H$2)</f>
        <v>ACTIVE</v>
      </c>
      <c r="D67" s="12">
        <f t="shared" ref="D67:D101" ca="1" si="7">r_date(2018,1,2020,12)</f>
        <v>43476</v>
      </c>
      <c r="E67" s="12">
        <f t="shared" ref="E67:E101" ca="1" si="8">D67+1000</f>
        <v>44476</v>
      </c>
      <c r="H67" t="str">
        <f t="shared" ca="1" si="4"/>
        <v>insert into Cards values ('crd_061', 9768, 'ACTIVE', '01-Nov-2020', '29-Jul-2023');</v>
      </c>
    </row>
    <row r="68" spans="1:8" x14ac:dyDescent="0.25">
      <c r="A68" s="1" t="s">
        <v>4939</v>
      </c>
      <c r="B68">
        <f t="shared" ca="1" si="5"/>
        <v>33</v>
      </c>
      <c r="C68" t="str">
        <f t="shared" ca="1" si="6"/>
        <v>INACTIVE</v>
      </c>
      <c r="D68" s="12">
        <f t="shared" ca="1" si="7"/>
        <v>44058</v>
      </c>
      <c r="E68" s="12">
        <f t="shared" ca="1" si="8"/>
        <v>45058</v>
      </c>
      <c r="H68" t="str">
        <f t="shared" ca="1" si="4"/>
        <v>insert into Cards values ('crd_062', 7009, 'INACTIVE', '26-Feb-2019', '22-Nov-2021');</v>
      </c>
    </row>
    <row r="69" spans="1:8" x14ac:dyDescent="0.25">
      <c r="A69" s="1" t="s">
        <v>4940</v>
      </c>
      <c r="B69">
        <f t="shared" ca="1" si="5"/>
        <v>9916</v>
      </c>
      <c r="C69" t="str">
        <f t="shared" ca="1" si="6"/>
        <v>ACTIVE</v>
      </c>
      <c r="D69" s="12">
        <f t="shared" ca="1" si="7"/>
        <v>43518</v>
      </c>
      <c r="E69" s="12">
        <f t="shared" ca="1" si="8"/>
        <v>44518</v>
      </c>
      <c r="H69" t="str">
        <f t="shared" ca="1" si="4"/>
        <v>insert into Cards values ('crd_063', 593, 'ACTIVE', '25-Nov-2019', '21-Aug-2022');</v>
      </c>
    </row>
    <row r="70" spans="1:8" x14ac:dyDescent="0.25">
      <c r="A70" s="1" t="s">
        <v>4941</v>
      </c>
      <c r="B70">
        <f t="shared" ca="1" si="5"/>
        <v>8504</v>
      </c>
      <c r="C70" t="str">
        <f t="shared" ca="1" si="6"/>
        <v>INACTIVE</v>
      </c>
      <c r="D70" s="12">
        <f t="shared" ca="1" si="7"/>
        <v>43688</v>
      </c>
      <c r="E70" s="12">
        <f t="shared" ca="1" si="8"/>
        <v>44688</v>
      </c>
      <c r="H70" t="str">
        <f t="shared" ca="1" si="4"/>
        <v>insert into Cards values ('crd_064', 2448, 'ACTIVE', '04-Jan-2020', '30-Sep-2022');</v>
      </c>
    </row>
    <row r="71" spans="1:8" x14ac:dyDescent="0.25">
      <c r="A71" s="1" t="s">
        <v>4942</v>
      </c>
      <c r="B71">
        <f t="shared" ca="1" si="5"/>
        <v>8775</v>
      </c>
      <c r="C71" t="str">
        <f t="shared" ca="1" si="6"/>
        <v>ACTIVE</v>
      </c>
      <c r="D71" s="12">
        <f t="shared" ca="1" si="7"/>
        <v>43356</v>
      </c>
      <c r="E71" s="12">
        <f t="shared" ca="1" si="8"/>
        <v>44356</v>
      </c>
      <c r="H71" t="str">
        <f t="shared" ca="1" si="4"/>
        <v>insert into Cards values ('crd_065', 894, 'INACTIVE', '03-May-2020', '28-Jan-2023');</v>
      </c>
    </row>
    <row r="72" spans="1:8" x14ac:dyDescent="0.25">
      <c r="A72" s="1" t="s">
        <v>4943</v>
      </c>
      <c r="B72">
        <f t="shared" ca="1" si="5"/>
        <v>4261</v>
      </c>
      <c r="C72" t="str">
        <f t="shared" ca="1" si="6"/>
        <v>INACTIVE</v>
      </c>
      <c r="D72" s="12">
        <f t="shared" ca="1" si="7"/>
        <v>43243</v>
      </c>
      <c r="E72" s="12">
        <f t="shared" ca="1" si="8"/>
        <v>44243</v>
      </c>
      <c r="H72" t="str">
        <f t="shared" ref="H72:H106" ca="1" si="9">insertinto(A67:E67,$J$1:$K$5,"Cards")</f>
        <v>insert into Cards values ('crd_066', 2316, 'ACTIVE', '11-Jan-2019', '07-Oct-2021');</v>
      </c>
    </row>
    <row r="73" spans="1:8" x14ac:dyDescent="0.25">
      <c r="A73" s="1" t="s">
        <v>4944</v>
      </c>
      <c r="B73">
        <f t="shared" ca="1" si="5"/>
        <v>7556</v>
      </c>
      <c r="C73" t="str">
        <f t="shared" ca="1" si="6"/>
        <v>ACTIVE</v>
      </c>
      <c r="D73" s="12">
        <f t="shared" ca="1" si="7"/>
        <v>43909</v>
      </c>
      <c r="E73" s="12">
        <f t="shared" ca="1" si="8"/>
        <v>44909</v>
      </c>
      <c r="H73" t="str">
        <f t="shared" ca="1" si="9"/>
        <v>insert into Cards values ('crd_067', 33, 'INACTIVE', '15-Aug-2020', '12-May-2023');</v>
      </c>
    </row>
    <row r="74" spans="1:8" x14ac:dyDescent="0.25">
      <c r="A74" s="1" t="s">
        <v>4945</v>
      </c>
      <c r="B74">
        <f t="shared" ca="1" si="5"/>
        <v>3230</v>
      </c>
      <c r="C74" t="str">
        <f t="shared" ca="1" si="6"/>
        <v>INACTIVE</v>
      </c>
      <c r="D74" s="12">
        <f t="shared" ca="1" si="7"/>
        <v>43538</v>
      </c>
      <c r="E74" s="12">
        <f t="shared" ca="1" si="8"/>
        <v>44538</v>
      </c>
      <c r="H74" t="str">
        <f t="shared" ca="1" si="9"/>
        <v>insert into Cards values ('crd_068', 9916, 'ACTIVE', '22-Feb-2019', '18-Nov-2021');</v>
      </c>
    </row>
    <row r="75" spans="1:8" x14ac:dyDescent="0.25">
      <c r="A75" s="1" t="s">
        <v>4946</v>
      </c>
      <c r="B75">
        <f t="shared" ca="1" si="5"/>
        <v>5095</v>
      </c>
      <c r="C75" t="str">
        <f t="shared" ca="1" si="6"/>
        <v>ACTIVE</v>
      </c>
      <c r="D75" s="12">
        <f t="shared" ca="1" si="7"/>
        <v>44151</v>
      </c>
      <c r="E75" s="12">
        <f t="shared" ca="1" si="8"/>
        <v>45151</v>
      </c>
      <c r="H75" t="str">
        <f t="shared" ca="1" si="9"/>
        <v>insert into Cards values ('crd_069', 8504, 'INACTIVE', '11-Aug-2019', '07-May-2022');</v>
      </c>
    </row>
    <row r="76" spans="1:8" x14ac:dyDescent="0.25">
      <c r="A76" s="1" t="s">
        <v>4947</v>
      </c>
      <c r="B76">
        <f t="shared" ca="1" si="5"/>
        <v>4280</v>
      </c>
      <c r="C76" t="str">
        <f t="shared" ca="1" si="6"/>
        <v>ACTIVE</v>
      </c>
      <c r="D76" s="12">
        <f t="shared" ca="1" si="7"/>
        <v>43405</v>
      </c>
      <c r="E76" s="12">
        <f t="shared" ca="1" si="8"/>
        <v>44405</v>
      </c>
      <c r="H76" t="str">
        <f t="shared" ca="1" si="9"/>
        <v>insert into Cards values ('crd_070', 8775, 'ACTIVE', '13-Sep-2018', '09-Jun-2021');</v>
      </c>
    </row>
    <row r="77" spans="1:8" x14ac:dyDescent="0.25">
      <c r="A77" s="1" t="s">
        <v>4948</v>
      </c>
      <c r="B77">
        <f t="shared" ca="1" si="5"/>
        <v>4237</v>
      </c>
      <c r="C77" t="str">
        <f t="shared" ca="1" si="6"/>
        <v>INACTIVE</v>
      </c>
      <c r="D77" s="12">
        <f t="shared" ca="1" si="7"/>
        <v>43581</v>
      </c>
      <c r="E77" s="12">
        <f t="shared" ca="1" si="8"/>
        <v>44581</v>
      </c>
      <c r="H77" t="str">
        <f t="shared" ca="1" si="9"/>
        <v>insert into Cards values ('crd_071', 4261, 'INACTIVE', '23-May-2018', '16-Feb-2021');</v>
      </c>
    </row>
    <row r="78" spans="1:8" x14ac:dyDescent="0.25">
      <c r="A78" s="1" t="s">
        <v>4949</v>
      </c>
      <c r="B78">
        <f t="shared" ca="1" si="5"/>
        <v>6671</v>
      </c>
      <c r="C78" t="str">
        <f t="shared" ca="1" si="6"/>
        <v>INACTIVE</v>
      </c>
      <c r="D78" s="12">
        <f t="shared" ca="1" si="7"/>
        <v>43256</v>
      </c>
      <c r="E78" s="12">
        <f t="shared" ca="1" si="8"/>
        <v>44256</v>
      </c>
      <c r="H78" t="str">
        <f t="shared" ca="1" si="9"/>
        <v>insert into Cards values ('crd_072', 7556, 'ACTIVE', '19-Mar-2020', '14-Dec-2022');</v>
      </c>
    </row>
    <row r="79" spans="1:8" x14ac:dyDescent="0.25">
      <c r="A79" s="1" t="s">
        <v>4950</v>
      </c>
      <c r="B79">
        <f t="shared" ca="1" si="5"/>
        <v>5680</v>
      </c>
      <c r="C79" t="str">
        <f t="shared" ca="1" si="6"/>
        <v>ACTIVE</v>
      </c>
      <c r="D79" s="12">
        <f t="shared" ca="1" si="7"/>
        <v>44190</v>
      </c>
      <c r="E79" s="12">
        <f t="shared" ca="1" si="8"/>
        <v>45190</v>
      </c>
      <c r="H79" t="str">
        <f t="shared" ca="1" si="9"/>
        <v>insert into Cards values ('crd_073', 3230, 'INACTIVE', '14-Mar-2019', '08-Dec-2021');</v>
      </c>
    </row>
    <row r="80" spans="1:8" x14ac:dyDescent="0.25">
      <c r="A80" s="1" t="s">
        <v>4951</v>
      </c>
      <c r="B80">
        <f t="shared" ca="1" si="5"/>
        <v>6149</v>
      </c>
      <c r="C80" t="str">
        <f t="shared" ca="1" si="6"/>
        <v>INACTIVE</v>
      </c>
      <c r="D80" s="12">
        <f t="shared" ca="1" si="7"/>
        <v>43270</v>
      </c>
      <c r="E80" s="12">
        <f t="shared" ca="1" si="8"/>
        <v>44270</v>
      </c>
      <c r="H80" t="str">
        <f t="shared" ca="1" si="9"/>
        <v>insert into Cards values ('crd_074', 5095, 'ACTIVE', '16-Nov-2020', '13-Aug-2023');</v>
      </c>
    </row>
    <row r="81" spans="1:8" x14ac:dyDescent="0.25">
      <c r="A81" s="1" t="s">
        <v>4952</v>
      </c>
      <c r="B81">
        <f t="shared" ca="1" si="5"/>
        <v>4427</v>
      </c>
      <c r="C81" t="str">
        <f t="shared" ca="1" si="6"/>
        <v>ACTIVE</v>
      </c>
      <c r="D81" s="12">
        <f t="shared" ca="1" si="7"/>
        <v>43501</v>
      </c>
      <c r="E81" s="12">
        <f t="shared" ca="1" si="8"/>
        <v>44501</v>
      </c>
      <c r="H81" t="str">
        <f t="shared" ca="1" si="9"/>
        <v>insert into Cards values ('crd_075', 4280, 'ACTIVE', '01-Nov-2018', '28-Jul-2021');</v>
      </c>
    </row>
    <row r="82" spans="1:8" x14ac:dyDescent="0.25">
      <c r="A82" s="1" t="s">
        <v>4953</v>
      </c>
      <c r="B82">
        <f t="shared" ca="1" si="5"/>
        <v>4561</v>
      </c>
      <c r="C82" t="str">
        <f t="shared" ca="1" si="6"/>
        <v>ACTIVE</v>
      </c>
      <c r="D82" s="12">
        <f t="shared" ca="1" si="7"/>
        <v>44090</v>
      </c>
      <c r="E82" s="12">
        <f t="shared" ca="1" si="8"/>
        <v>45090</v>
      </c>
      <c r="H82" t="str">
        <f t="shared" ca="1" si="9"/>
        <v>insert into Cards values ('crd_076', 4237, 'INACTIVE', '26-Apr-2019', '20-Jan-2022');</v>
      </c>
    </row>
    <row r="83" spans="1:8" x14ac:dyDescent="0.25">
      <c r="A83" s="1" t="s">
        <v>4954</v>
      </c>
      <c r="B83">
        <f t="shared" ca="1" si="5"/>
        <v>1107</v>
      </c>
      <c r="C83" t="str">
        <f t="shared" ca="1" si="6"/>
        <v>INACTIVE</v>
      </c>
      <c r="D83" s="12">
        <f t="shared" ca="1" si="7"/>
        <v>43616</v>
      </c>
      <c r="E83" s="12">
        <f t="shared" ca="1" si="8"/>
        <v>44616</v>
      </c>
      <c r="H83" t="str">
        <f t="shared" ca="1" si="9"/>
        <v>insert into Cards values ('crd_077', 6671, 'INACTIVE', '05-Jun-2018', '01-Mar-2021');</v>
      </c>
    </row>
    <row r="84" spans="1:8" x14ac:dyDescent="0.25">
      <c r="A84" s="1" t="s">
        <v>4955</v>
      </c>
      <c r="B84">
        <f t="shared" ca="1" si="5"/>
        <v>6852</v>
      </c>
      <c r="C84" t="str">
        <f t="shared" ca="1" si="6"/>
        <v>INACTIVE</v>
      </c>
      <c r="D84" s="12">
        <f t="shared" ca="1" si="7"/>
        <v>43560</v>
      </c>
      <c r="E84" s="12">
        <f t="shared" ca="1" si="8"/>
        <v>44560</v>
      </c>
      <c r="H84" t="str">
        <f t="shared" ca="1" si="9"/>
        <v>insert into Cards values ('crd_078', 5680, 'ACTIVE', '25-Dec-2020', '21-Sep-2023');</v>
      </c>
    </row>
    <row r="85" spans="1:8" x14ac:dyDescent="0.25">
      <c r="A85" s="1" t="s">
        <v>4956</v>
      </c>
      <c r="B85">
        <f t="shared" ca="1" si="5"/>
        <v>5509</v>
      </c>
      <c r="C85" t="str">
        <f t="shared" ca="1" si="6"/>
        <v>ACTIVE</v>
      </c>
      <c r="D85" s="12">
        <f t="shared" ca="1" si="7"/>
        <v>43787</v>
      </c>
      <c r="E85" s="12">
        <f t="shared" ca="1" si="8"/>
        <v>44787</v>
      </c>
      <c r="H85" t="str">
        <f t="shared" ca="1" si="9"/>
        <v>insert into Cards values ('crd_079', 6149, 'INACTIVE', '19-Jun-2018', '15-Mar-2021');</v>
      </c>
    </row>
    <row r="86" spans="1:8" x14ac:dyDescent="0.25">
      <c r="A86" s="1" t="s">
        <v>4957</v>
      </c>
      <c r="B86">
        <f t="shared" ca="1" si="5"/>
        <v>964</v>
      </c>
      <c r="C86" t="str">
        <f t="shared" ca="1" si="6"/>
        <v>INACTIVE</v>
      </c>
      <c r="D86" s="12">
        <f t="shared" ca="1" si="7"/>
        <v>43896</v>
      </c>
      <c r="E86" s="12">
        <f t="shared" ca="1" si="8"/>
        <v>44896</v>
      </c>
      <c r="H86" t="str">
        <f t="shared" ca="1" si="9"/>
        <v>insert into Cards values ('crd_080', 4427, 'ACTIVE', '05-Feb-2019', '01-Nov-2021');</v>
      </c>
    </row>
    <row r="87" spans="1:8" x14ac:dyDescent="0.25">
      <c r="A87" s="1" t="s">
        <v>4958</v>
      </c>
      <c r="B87">
        <f t="shared" ca="1" si="5"/>
        <v>454</v>
      </c>
      <c r="C87" t="str">
        <f t="shared" ca="1" si="6"/>
        <v>ACTIVE</v>
      </c>
      <c r="D87" s="12">
        <f t="shared" ca="1" si="7"/>
        <v>43193</v>
      </c>
      <c r="E87" s="12">
        <f t="shared" ca="1" si="8"/>
        <v>44193</v>
      </c>
      <c r="H87" t="str">
        <f t="shared" ca="1" si="9"/>
        <v>insert into Cards values ('crd_081', 4561, 'ACTIVE', '16-Sep-2020', '13-Jun-2023');</v>
      </c>
    </row>
    <row r="88" spans="1:8" x14ac:dyDescent="0.25">
      <c r="A88" s="1" t="s">
        <v>4959</v>
      </c>
      <c r="B88">
        <f t="shared" ca="1" si="5"/>
        <v>3982</v>
      </c>
      <c r="C88" t="str">
        <f t="shared" ca="1" si="6"/>
        <v>INACTIVE</v>
      </c>
      <c r="D88" s="12">
        <f t="shared" ca="1" si="7"/>
        <v>43364</v>
      </c>
      <c r="E88" s="12">
        <f t="shared" ca="1" si="8"/>
        <v>44364</v>
      </c>
      <c r="H88" t="str">
        <f t="shared" ca="1" si="9"/>
        <v>insert into Cards values ('crd_082', 1107, 'INACTIVE', '31-May-2019', '24-Feb-2022');</v>
      </c>
    </row>
    <row r="89" spans="1:8" x14ac:dyDescent="0.25">
      <c r="A89" s="1" t="s">
        <v>4960</v>
      </c>
      <c r="B89">
        <f t="shared" ca="1" si="5"/>
        <v>8873</v>
      </c>
      <c r="C89" t="str">
        <f t="shared" ca="1" si="6"/>
        <v>ACTIVE</v>
      </c>
      <c r="D89" s="12">
        <f t="shared" ca="1" si="7"/>
        <v>43641</v>
      </c>
      <c r="E89" s="12">
        <f t="shared" ca="1" si="8"/>
        <v>44641</v>
      </c>
      <c r="H89" t="str">
        <f t="shared" ca="1" si="9"/>
        <v>insert into Cards values ('crd_083', 6852, 'INACTIVE', '05-Apr-2019', '30-Dec-2021');</v>
      </c>
    </row>
    <row r="90" spans="1:8" x14ac:dyDescent="0.25">
      <c r="A90" s="1" t="s">
        <v>4961</v>
      </c>
      <c r="B90">
        <f t="shared" ca="1" si="5"/>
        <v>9816</v>
      </c>
      <c r="C90" t="str">
        <f t="shared" ca="1" si="6"/>
        <v>INACTIVE</v>
      </c>
      <c r="D90" s="12">
        <f t="shared" ca="1" si="7"/>
        <v>43870</v>
      </c>
      <c r="E90" s="12">
        <f t="shared" ca="1" si="8"/>
        <v>44870</v>
      </c>
      <c r="H90" t="str">
        <f t="shared" ca="1" si="9"/>
        <v>insert into Cards values ('crd_084', 5509, 'ACTIVE', '18-Nov-2019', '14-Aug-2022');</v>
      </c>
    </row>
    <row r="91" spans="1:8" x14ac:dyDescent="0.25">
      <c r="A91" s="1" t="s">
        <v>4962</v>
      </c>
      <c r="B91">
        <f t="shared" ca="1" si="5"/>
        <v>4335</v>
      </c>
      <c r="C91" t="str">
        <f t="shared" ca="1" si="6"/>
        <v>INACTIVE</v>
      </c>
      <c r="D91" s="12">
        <f t="shared" ca="1" si="7"/>
        <v>43541</v>
      </c>
      <c r="E91" s="12">
        <f t="shared" ca="1" si="8"/>
        <v>44541</v>
      </c>
      <c r="H91" t="str">
        <f t="shared" ca="1" si="9"/>
        <v>insert into Cards values ('crd_085', 964, 'INACTIVE', '06-Mar-2020', '01-Dec-2022');</v>
      </c>
    </row>
    <row r="92" spans="1:8" x14ac:dyDescent="0.25">
      <c r="A92" s="1" t="s">
        <v>4963</v>
      </c>
      <c r="B92">
        <f t="shared" ca="1" si="5"/>
        <v>1684</v>
      </c>
      <c r="C92" t="str">
        <f t="shared" ca="1" si="6"/>
        <v>ACTIVE</v>
      </c>
      <c r="D92" s="12">
        <f t="shared" ca="1" si="7"/>
        <v>43437</v>
      </c>
      <c r="E92" s="12">
        <f t="shared" ca="1" si="8"/>
        <v>44437</v>
      </c>
      <c r="H92" t="str">
        <f t="shared" ca="1" si="9"/>
        <v>insert into Cards values ('crd_086', 454, 'ACTIVE', '03-Apr-2018', '28-Dec-2020');</v>
      </c>
    </row>
    <row r="93" spans="1:8" x14ac:dyDescent="0.25">
      <c r="A93" s="1" t="s">
        <v>4964</v>
      </c>
      <c r="B93">
        <f t="shared" ca="1" si="5"/>
        <v>8000</v>
      </c>
      <c r="C93" t="str">
        <f t="shared" ca="1" si="6"/>
        <v>ACTIVE</v>
      </c>
      <c r="D93" s="12">
        <f t="shared" ca="1" si="7"/>
        <v>43146</v>
      </c>
      <c r="E93" s="12">
        <f t="shared" ca="1" si="8"/>
        <v>44146</v>
      </c>
      <c r="H93" t="str">
        <f t="shared" ca="1" si="9"/>
        <v>insert into Cards values ('crd_087', 3982, 'INACTIVE', '21-Sep-2018', '17-Jun-2021');</v>
      </c>
    </row>
    <row r="94" spans="1:8" x14ac:dyDescent="0.25">
      <c r="A94" s="1" t="s">
        <v>4965</v>
      </c>
      <c r="B94">
        <f t="shared" ca="1" si="5"/>
        <v>5982</v>
      </c>
      <c r="C94" t="str">
        <f t="shared" ca="1" si="6"/>
        <v>ACTIVE</v>
      </c>
      <c r="D94" s="12">
        <f t="shared" ca="1" si="7"/>
        <v>43560</v>
      </c>
      <c r="E94" s="12">
        <f t="shared" ca="1" si="8"/>
        <v>44560</v>
      </c>
      <c r="H94" t="str">
        <f t="shared" ca="1" si="9"/>
        <v>insert into Cards values ('crd_088', 8873, 'ACTIVE', '25-Jun-2019', '21-Mar-2022');</v>
      </c>
    </row>
    <row r="95" spans="1:8" x14ac:dyDescent="0.25">
      <c r="A95" s="1" t="s">
        <v>4966</v>
      </c>
      <c r="B95">
        <f t="shared" ca="1" si="5"/>
        <v>9051</v>
      </c>
      <c r="C95" t="str">
        <f t="shared" ca="1" si="6"/>
        <v>ACTIVE</v>
      </c>
      <c r="D95" s="12">
        <f t="shared" ca="1" si="7"/>
        <v>43347</v>
      </c>
      <c r="E95" s="12">
        <f t="shared" ca="1" si="8"/>
        <v>44347</v>
      </c>
      <c r="H95" t="str">
        <f t="shared" ca="1" si="9"/>
        <v>insert into Cards values ('crd_089', 9816, 'INACTIVE', '09-Feb-2020', '05-Nov-2022');</v>
      </c>
    </row>
    <row r="96" spans="1:8" x14ac:dyDescent="0.25">
      <c r="A96" s="1" t="s">
        <v>4967</v>
      </c>
      <c r="B96">
        <f t="shared" ca="1" si="5"/>
        <v>9030</v>
      </c>
      <c r="C96" t="str">
        <f t="shared" ca="1" si="6"/>
        <v>INACTIVE</v>
      </c>
      <c r="D96" s="12">
        <f t="shared" ca="1" si="7"/>
        <v>43190</v>
      </c>
      <c r="E96" s="12">
        <f t="shared" ca="1" si="8"/>
        <v>44190</v>
      </c>
      <c r="H96" t="str">
        <f t="shared" ca="1" si="9"/>
        <v>insert into Cards values ('crd_090', 4335, 'INACTIVE', '17-Mar-2019', '11-Dec-2021');</v>
      </c>
    </row>
    <row r="97" spans="1:8" x14ac:dyDescent="0.25">
      <c r="A97" s="1" t="s">
        <v>4968</v>
      </c>
      <c r="B97">
        <f t="shared" ca="1" si="5"/>
        <v>9557</v>
      </c>
      <c r="C97" t="str">
        <f t="shared" ca="1" si="6"/>
        <v>INACTIVE</v>
      </c>
      <c r="D97" s="12">
        <f t="shared" ca="1" si="7"/>
        <v>43247</v>
      </c>
      <c r="E97" s="12">
        <f t="shared" ca="1" si="8"/>
        <v>44247</v>
      </c>
      <c r="H97" t="str">
        <f t="shared" ca="1" si="9"/>
        <v>insert into Cards values ('crd_091', 1684, 'ACTIVE', '03-Dec-2018', '29-Aug-2021');</v>
      </c>
    </row>
    <row r="98" spans="1:8" x14ac:dyDescent="0.25">
      <c r="A98" s="1" t="s">
        <v>4969</v>
      </c>
      <c r="B98">
        <f t="shared" ca="1" si="5"/>
        <v>2173</v>
      </c>
      <c r="C98" t="str">
        <f t="shared" ca="1" si="6"/>
        <v>INACTIVE</v>
      </c>
      <c r="D98" s="12">
        <f t="shared" ca="1" si="7"/>
        <v>43111</v>
      </c>
      <c r="E98" s="12">
        <f t="shared" ca="1" si="8"/>
        <v>44111</v>
      </c>
      <c r="H98" t="str">
        <f t="shared" ca="1" si="9"/>
        <v>insert into Cards values ('crd_092', 8000, 'ACTIVE', '15-Feb-2018', '11-Nov-2020');</v>
      </c>
    </row>
    <row r="99" spans="1:8" x14ac:dyDescent="0.25">
      <c r="A99" s="1" t="s">
        <v>4970</v>
      </c>
      <c r="B99">
        <f t="shared" ca="1" si="5"/>
        <v>2330</v>
      </c>
      <c r="C99" t="str">
        <f t="shared" ca="1" si="6"/>
        <v>INACTIVE</v>
      </c>
      <c r="D99" s="12">
        <f t="shared" ca="1" si="7"/>
        <v>43884</v>
      </c>
      <c r="E99" s="12">
        <f t="shared" ca="1" si="8"/>
        <v>44884</v>
      </c>
      <c r="H99" t="str">
        <f t="shared" ca="1" si="9"/>
        <v>insert into Cards values ('crd_093', 5982, 'ACTIVE', '05-Apr-2019', '30-Dec-2021');</v>
      </c>
    </row>
    <row r="100" spans="1:8" x14ac:dyDescent="0.25">
      <c r="A100" s="1" t="s">
        <v>4971</v>
      </c>
      <c r="B100">
        <f t="shared" ca="1" si="5"/>
        <v>1435</v>
      </c>
      <c r="C100" t="str">
        <f t="shared" ca="1" si="6"/>
        <v>ACTIVE</v>
      </c>
      <c r="D100" s="12">
        <f t="shared" ca="1" si="7"/>
        <v>43111</v>
      </c>
      <c r="E100" s="12">
        <f t="shared" ca="1" si="8"/>
        <v>44111</v>
      </c>
      <c r="H100" t="str">
        <f t="shared" ca="1" si="9"/>
        <v>insert into Cards values ('crd_094', 9051, 'ACTIVE', '04-Sep-2018', '31-May-2021');</v>
      </c>
    </row>
    <row r="101" spans="1:8" x14ac:dyDescent="0.25">
      <c r="A101" s="1" t="s">
        <v>4974</v>
      </c>
      <c r="B101">
        <f t="shared" ca="1" si="5"/>
        <v>5810</v>
      </c>
      <c r="C101" t="str">
        <f t="shared" ca="1" si="6"/>
        <v>INACTIVE</v>
      </c>
      <c r="D101" s="12">
        <f t="shared" ca="1" si="7"/>
        <v>43884</v>
      </c>
      <c r="E101" s="12">
        <f t="shared" ca="1" si="8"/>
        <v>44884</v>
      </c>
      <c r="H101" t="str">
        <f t="shared" ca="1" si="9"/>
        <v>insert into Cards values ('crd_095', 9030, 'INACTIVE', '31-Mar-2018', '25-Dec-2020');</v>
      </c>
    </row>
    <row r="102" spans="1:8" x14ac:dyDescent="0.25">
      <c r="H102" t="str">
        <f t="shared" ca="1" si="9"/>
        <v>insert into Cards values ('crd_096', 9557, 'INACTIVE', '27-May-2018', '20-Feb-2021');</v>
      </c>
    </row>
    <row r="103" spans="1:8" x14ac:dyDescent="0.25">
      <c r="H103" t="str">
        <f t="shared" ca="1" si="9"/>
        <v>insert into Cards values ('crd_097', 2173, 'INACTIVE', '11-Jan-2018', '07-Oct-2020');</v>
      </c>
    </row>
    <row r="104" spans="1:8" x14ac:dyDescent="0.25">
      <c r="H104" t="str">
        <f t="shared" ca="1" si="9"/>
        <v>insert into Cards values ('crd_098', 2330, 'INACTIVE', '23-Feb-2020', '19-Nov-2022');</v>
      </c>
    </row>
    <row r="105" spans="1:8" x14ac:dyDescent="0.25">
      <c r="H105" t="str">
        <f t="shared" ca="1" si="9"/>
        <v>insert into Cards values ('crd_099', 1435, 'ACTIVE', '11-Jan-2018', '07-Oct-2020');</v>
      </c>
    </row>
    <row r="106" spans="1:8" x14ac:dyDescent="0.25">
      <c r="H106" t="str">
        <f t="shared" ca="1" si="9"/>
        <v>insert into Cards values ('crd_100', 5810, 'INACTIVE', '23-Feb-2020', '19-Nov-2022');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D8F4-6F4C-4167-91B1-2B73F15335A9}">
  <dimension ref="A1:AC65"/>
  <sheetViews>
    <sheetView zoomScale="70" zoomScaleNormal="70" workbookViewId="0">
      <selection activeCell="E48" sqref="E48:E49"/>
    </sheetView>
  </sheetViews>
  <sheetFormatPr defaultRowHeight="13.2" x14ac:dyDescent="0.25"/>
  <cols>
    <col min="1" max="1" width="8.5546875" bestFit="1" customWidth="1"/>
    <col min="2" max="2" width="20.33203125" bestFit="1" customWidth="1"/>
    <col min="3" max="3" width="9.109375" bestFit="1" customWidth="1"/>
    <col min="4" max="4" width="13.77734375" bestFit="1" customWidth="1"/>
    <col min="5" max="5" width="23.6640625" bestFit="1" customWidth="1"/>
    <col min="6" max="6" width="10.88671875" bestFit="1" customWidth="1"/>
    <col min="7" max="7" width="14.5546875" bestFit="1" customWidth="1"/>
    <col min="8" max="9" width="8.33203125" bestFit="1" customWidth="1"/>
    <col min="10" max="10" width="10.5546875" bestFit="1" customWidth="1"/>
    <col min="11" max="11" width="14.6640625" bestFit="1" customWidth="1"/>
    <col min="12" max="12" width="16" bestFit="1" customWidth="1"/>
    <col min="13" max="13" width="15.6640625" bestFit="1" customWidth="1"/>
    <col min="14" max="14" width="12.33203125" bestFit="1" customWidth="1"/>
    <col min="21" max="21" width="2" bestFit="1" customWidth="1"/>
    <col min="22" max="22" width="19.77734375" bestFit="1" customWidth="1"/>
    <col min="23" max="23" width="20.33203125" bestFit="1" customWidth="1"/>
    <col min="24" max="24" width="23.6640625" bestFit="1" customWidth="1"/>
    <col min="25" max="25" width="13.77734375" bestFit="1" customWidth="1"/>
    <col min="26" max="26" width="8" bestFit="1" customWidth="1"/>
    <col min="27" max="28" width="17.5546875" bestFit="1" customWidth="1"/>
  </cols>
  <sheetData>
    <row r="1" spans="1:29" x14ac:dyDescent="0.25">
      <c r="A1" s="3" t="s">
        <v>4104</v>
      </c>
      <c r="B1" s="1" t="s">
        <v>4106</v>
      </c>
      <c r="C1" t="s">
        <v>4112</v>
      </c>
      <c r="D1" s="1" t="s">
        <v>4241</v>
      </c>
      <c r="E1" s="1" t="s">
        <v>4209</v>
      </c>
      <c r="F1" s="1" t="s">
        <v>4248</v>
      </c>
      <c r="G1" s="5" t="s">
        <v>4107</v>
      </c>
      <c r="H1" s="1" t="s">
        <v>4110</v>
      </c>
      <c r="I1" s="1" t="s">
        <v>4250</v>
      </c>
      <c r="J1" s="2" t="s">
        <v>4108</v>
      </c>
      <c r="K1" s="1" t="s">
        <v>4249</v>
      </c>
      <c r="L1" s="8" t="s">
        <v>4251</v>
      </c>
      <c r="M1" s="8" t="s">
        <v>4111</v>
      </c>
      <c r="N1" s="1" t="s">
        <v>4109</v>
      </c>
    </row>
    <row r="2" spans="1:29" x14ac:dyDescent="0.25">
      <c r="A2" s="3" t="s">
        <v>4315</v>
      </c>
      <c r="B2" s="1" t="str">
        <f t="shared" ref="B2:B41" si="0">IF(C2=$V$2,VLOOKUP(_xlfn.NUMBERVALUE(RIGHT(A2,1)),$U$3:$V$12,2,0),IF(C2=$V$14,VLOOKUP(_xlfn.NUMBERVALUE(RIGHT(A2,1)),$U$15:$V$24,2,0),IF(C2=$W$2,VLOOKUP(_xlfn.NUMBERVALUE(RIGHT(A2,1)),$U$3:$W$12,3,0),IF(C2=$W$14,VLOOKUP(_xlfn.NUMBERVALUE(RIGHT(A2,1)),$U$15:$W$24,3,0)))))</f>
        <v>Red Omen</v>
      </c>
      <c r="C2" t="str">
        <f t="shared" ref="C2:C41" si="1">IF(AND(_xlfn.NUMBERVALUE(RIGHT(A2,2))&gt;0,_xlfn.NUMBERVALUE(RIGHT(A2,2))&lt;=10),$V$2,IF(AND(_xlfn.NUMBERVALUE(RIGHT(A2,2))&gt;10,_xlfn.NUMBERVALUE(RIGHT(A2,2))&lt;=20),$W$2,IF(AND(_xlfn.NUMBERVALUE(RIGHT(A2,2))&gt;20,_xlfn.NUMBERVALUE(RIGHT(A2,2))&lt;=30),$V$14,$W$14)))</f>
        <v>Action</v>
      </c>
      <c r="D2" t="str">
        <f t="shared" ref="D2:D41" ca="1" si="2">r_choice($Y$3:$Y$11)</f>
        <v>Surprisystems</v>
      </c>
      <c r="E2" t="str">
        <f t="shared" ref="E2:E41" ca="1" si="3">r_choice($X$3:$X$22)</f>
        <v>Vagabond Interactive</v>
      </c>
      <c r="F2" t="str">
        <f t="shared" ref="F2:F41" ca="1" si="4">r_choice($Z$3:$Z$7)</f>
        <v>PEGI-16</v>
      </c>
      <c r="G2" s="6">
        <f ca="1">r_integer(50,100)</f>
        <v>85</v>
      </c>
      <c r="H2" t="str">
        <f ca="1">r_integer(2,80)&amp;" Hours"</f>
        <v>38 Hours</v>
      </c>
      <c r="I2" t="str">
        <f t="shared" ref="I2:I41" ca="1" si="5">r_choice($Y$14:$Y$17)</f>
        <v>Deluxe</v>
      </c>
      <c r="J2" s="7">
        <f ca="1">IF(I2 =$Y$14, r_uniform(20,60,-1), IF(I2 =$Y$15, r_uniform(40,80,-1),IF(I2 =$Y$16, r_uniform(60,120,-1),IF(I2 =$Y$17, r_uniform(100,300,-1)))))</f>
        <v>40</v>
      </c>
      <c r="K2" s="10">
        <f ca="1">J2-J2*L2</f>
        <v>28</v>
      </c>
      <c r="L2" s="9">
        <f t="shared" ref="L2:L41" ca="1" si="6">IF(I2 =$Y$14,0.2, IF(I2 =$Y$15, 0.3,IF(I2 =$Y$16,0.35,IF(I2 =$Y$17,0.45))))</f>
        <v>0.3</v>
      </c>
      <c r="M2" s="9">
        <f ca="1">IF(N2&lt;=300,0.75,IF(AND(N2&gt;300,N2&lt;=600),0.4,IF(AND(N2&gt;600,N2&lt;=800),0.1,0)))</f>
        <v>0</v>
      </c>
      <c r="N2">
        <f ca="1">r_integer(10,1000)</f>
        <v>996</v>
      </c>
      <c r="V2" s="1" t="s">
        <v>4133</v>
      </c>
      <c r="W2" s="1" t="s">
        <v>4134</v>
      </c>
      <c r="X2" s="1" t="s">
        <v>4208</v>
      </c>
      <c r="Y2" s="1" t="s">
        <v>4231</v>
      </c>
      <c r="Z2" s="1" t="s">
        <v>4242</v>
      </c>
      <c r="AB2" s="3" t="s">
        <v>4104</v>
      </c>
      <c r="AC2" t="s">
        <v>5399</v>
      </c>
    </row>
    <row r="3" spans="1:29" x14ac:dyDescent="0.25">
      <c r="A3" s="3" t="s">
        <v>4316</v>
      </c>
      <c r="B3" s="1" t="str">
        <f t="shared" si="0"/>
        <v>Titan Carnage</v>
      </c>
      <c r="C3" t="str">
        <f t="shared" si="1"/>
        <v>Action</v>
      </c>
      <c r="D3" t="str">
        <f t="shared" ca="1" si="2"/>
        <v>Heartpoint</v>
      </c>
      <c r="E3" t="str">
        <f t="shared" ca="1" si="3"/>
        <v>Thunderjam Interactive</v>
      </c>
      <c r="F3" t="str">
        <f t="shared" ca="1" si="4"/>
        <v>PEGI-12</v>
      </c>
      <c r="G3" s="6">
        <f ca="1">r_integer(50,100)</f>
        <v>81</v>
      </c>
      <c r="H3" t="str">
        <f ca="1">r_integer(2,80)&amp;" Hours"</f>
        <v>17 Hours</v>
      </c>
      <c r="I3" t="str">
        <f t="shared" ca="1" si="5"/>
        <v>Collector</v>
      </c>
      <c r="J3" s="7">
        <f ca="1">IF(I3 =$Y$14, r_uniform(20,60,-1), IF(I3 =$Y$15, r_uniform(40,80,-1),IF(I3 =$Y$16, r_uniform(60,120,-1),IF(I3 =$Y$17, r_uniform(100,300,-1)))))</f>
        <v>240</v>
      </c>
      <c r="K3" s="10">
        <f ca="1">J3-J3*L3</f>
        <v>132</v>
      </c>
      <c r="L3" s="9">
        <f t="shared" ca="1" si="6"/>
        <v>0.45</v>
      </c>
      <c r="M3" s="9">
        <f ca="1">IF(N3&lt;=300,0.75,IF(AND(N3&gt;300,N3&lt;=600),0.4,IF(AND(N3&gt;600,N3&lt;=800),0.1,0)))</f>
        <v>0.75</v>
      </c>
      <c r="N3">
        <f ca="1">r_integer(10,1000)</f>
        <v>209</v>
      </c>
      <c r="U3">
        <v>1</v>
      </c>
      <c r="V3" t="s">
        <v>4113</v>
      </c>
      <c r="W3" t="s">
        <v>4123</v>
      </c>
      <c r="X3" t="s">
        <v>4211</v>
      </c>
      <c r="Y3" t="s">
        <v>4232</v>
      </c>
      <c r="Z3" s="1" t="s">
        <v>4243</v>
      </c>
      <c r="AB3" s="1" t="s">
        <v>4106</v>
      </c>
      <c r="AC3" t="s">
        <v>5399</v>
      </c>
    </row>
    <row r="4" spans="1:29" x14ac:dyDescent="0.25">
      <c r="A4" s="3" t="s">
        <v>4317</v>
      </c>
      <c r="B4" s="1" t="str">
        <f t="shared" si="0"/>
        <v>Pillage of Opportunity</v>
      </c>
      <c r="C4" t="str">
        <f t="shared" si="1"/>
        <v>Action</v>
      </c>
      <c r="D4" t="str">
        <f t="shared" ca="1" si="2"/>
        <v>Cliff Acoustics</v>
      </c>
      <c r="E4" t="str">
        <f t="shared" ca="1" si="3"/>
        <v>Starsoft Productions</v>
      </c>
      <c r="F4" t="str">
        <f t="shared" ca="1" si="4"/>
        <v>PEGI-7</v>
      </c>
      <c r="G4" s="6">
        <f t="shared" ref="G4:G41" ca="1" si="7">r_integer(50,100)</f>
        <v>62</v>
      </c>
      <c r="H4" t="str">
        <f t="shared" ref="H4:H41" ca="1" si="8">r_integer(2,80)&amp;" Hours"</f>
        <v>28 Hours</v>
      </c>
      <c r="I4" t="str">
        <f t="shared" ca="1" si="5"/>
        <v>Collector</v>
      </c>
      <c r="J4" s="7">
        <f ca="1">IF(I4 =$Y$14, r_uniform(20,60,-1), IF(I4 =$Y$15, r_uniform(40,80,-1),IF(I4 =$Y$16, r_uniform(60,120,-1),IF(I4 =$Y$17, r_uniform(100,300,-1)))))</f>
        <v>280</v>
      </c>
      <c r="K4" s="10">
        <f t="shared" ref="K4:K41" ca="1" si="9">J4-J4*L4</f>
        <v>154</v>
      </c>
      <c r="L4" s="9">
        <f t="shared" ca="1" si="6"/>
        <v>0.45</v>
      </c>
      <c r="M4" s="9">
        <f t="shared" ref="M4:M41" ca="1" si="10">IF(N4&lt;=300,0.75,IF(AND(N4&gt;300,N4&lt;=600),0.4,IF(AND(N4&gt;600,N4&lt;=800),0.1,0)))</f>
        <v>0</v>
      </c>
      <c r="N4">
        <f t="shared" ref="N4:N41" ca="1" si="11">r_integer(10,1000)</f>
        <v>826</v>
      </c>
      <c r="U4">
        <v>2</v>
      </c>
      <c r="V4" t="s">
        <v>4114</v>
      </c>
      <c r="W4" t="s">
        <v>4124</v>
      </c>
      <c r="X4" t="s">
        <v>4212</v>
      </c>
      <c r="Y4" t="s">
        <v>4233</v>
      </c>
      <c r="Z4" s="1" t="s">
        <v>4244</v>
      </c>
      <c r="AB4" t="s">
        <v>4112</v>
      </c>
      <c r="AC4" t="s">
        <v>5399</v>
      </c>
    </row>
    <row r="5" spans="1:29" x14ac:dyDescent="0.25">
      <c r="A5" s="3" t="s">
        <v>4318</v>
      </c>
      <c r="B5" s="1" t="str">
        <f t="shared" si="0"/>
        <v>Vengeance of Trickery</v>
      </c>
      <c r="C5" t="str">
        <f t="shared" si="1"/>
        <v>Action</v>
      </c>
      <c r="D5" t="str">
        <f t="shared" ca="1" si="2"/>
        <v>Surprisystems</v>
      </c>
      <c r="E5" t="str">
        <f t="shared" ca="1" si="3"/>
        <v>Rare Spectre Arts</v>
      </c>
      <c r="F5" t="str">
        <f t="shared" ca="1" si="4"/>
        <v>PEGI-16</v>
      </c>
      <c r="G5" s="6">
        <f t="shared" ca="1" si="7"/>
        <v>69</v>
      </c>
      <c r="H5" t="str">
        <f t="shared" ca="1" si="8"/>
        <v>35 Hours</v>
      </c>
      <c r="I5" t="str">
        <f t="shared" ca="1" si="5"/>
        <v>Standard</v>
      </c>
      <c r="J5" s="7">
        <f ca="1">IF(I5 =$Y$14, r_uniform(20,60,-1), IF(I5 =$Y$15, r_uniform(40,80,-1),IF(I5 =$Y$16, r_uniform(60,120,-1),IF(I5 =$Y$17, r_uniform(100,300,-1)))))</f>
        <v>50</v>
      </c>
      <c r="K5" s="10">
        <f t="shared" ca="1" si="9"/>
        <v>40</v>
      </c>
      <c r="L5" s="9">
        <f t="shared" ca="1" si="6"/>
        <v>0.2</v>
      </c>
      <c r="M5" s="9">
        <f t="shared" ca="1" si="10"/>
        <v>0.75</v>
      </c>
      <c r="N5">
        <f t="shared" ca="1" si="11"/>
        <v>114</v>
      </c>
      <c r="U5">
        <v>3</v>
      </c>
      <c r="V5" t="s">
        <v>4115</v>
      </c>
      <c r="W5" t="s">
        <v>4125</v>
      </c>
      <c r="X5" t="s">
        <v>4213</v>
      </c>
      <c r="Y5" t="s">
        <v>4234</v>
      </c>
      <c r="Z5" s="1" t="s">
        <v>4245</v>
      </c>
      <c r="AB5" s="1" t="s">
        <v>4241</v>
      </c>
      <c r="AC5" t="s">
        <v>5399</v>
      </c>
    </row>
    <row r="6" spans="1:29" x14ac:dyDescent="0.25">
      <c r="A6" s="3" t="s">
        <v>4319</v>
      </c>
      <c r="B6" s="1" t="str">
        <f t="shared" si="0"/>
        <v>Ghosts and Command</v>
      </c>
      <c r="C6" t="str">
        <f t="shared" si="1"/>
        <v>Action</v>
      </c>
      <c r="D6" t="str">
        <f t="shared" ca="1" si="2"/>
        <v>Fairyhive</v>
      </c>
      <c r="E6" t="str">
        <f t="shared" ca="1" si="3"/>
        <v>Numb Kitten Productions</v>
      </c>
      <c r="F6" t="str">
        <f t="shared" ca="1" si="4"/>
        <v>PEGI-18</v>
      </c>
      <c r="G6" s="6">
        <f t="shared" ca="1" si="7"/>
        <v>51</v>
      </c>
      <c r="H6" t="str">
        <f t="shared" ca="1" si="8"/>
        <v>45 Hours</v>
      </c>
      <c r="I6" t="str">
        <f t="shared" ca="1" si="5"/>
        <v>Collector</v>
      </c>
      <c r="J6" s="7">
        <f ca="1">IF(I6 =$Y$14, r_uniform(20,60,-1), IF(I6 =$Y$15, r_uniform(40,80,-1),IF(I6 =$Y$16, r_uniform(60,120,-1),IF(I6 =$Y$17, r_uniform(100,300,-1)))))</f>
        <v>180</v>
      </c>
      <c r="K6" s="10">
        <f t="shared" ca="1" si="9"/>
        <v>99</v>
      </c>
      <c r="L6" s="9">
        <f t="shared" ca="1" si="6"/>
        <v>0.45</v>
      </c>
      <c r="M6" s="9">
        <f t="shared" ca="1" si="10"/>
        <v>0</v>
      </c>
      <c r="N6">
        <f t="shared" ca="1" si="11"/>
        <v>852</v>
      </c>
      <c r="U6">
        <v>4</v>
      </c>
      <c r="V6" t="s">
        <v>4116</v>
      </c>
      <c r="W6" t="s">
        <v>4126</v>
      </c>
      <c r="X6" t="s">
        <v>4214</v>
      </c>
      <c r="Y6" t="s">
        <v>4235</v>
      </c>
      <c r="Z6" s="1" t="s">
        <v>4246</v>
      </c>
      <c r="AB6" s="1" t="s">
        <v>4209</v>
      </c>
      <c r="AC6" t="s">
        <v>5399</v>
      </c>
    </row>
    <row r="7" spans="1:29" x14ac:dyDescent="0.25">
      <c r="A7" s="3" t="s">
        <v>4320</v>
      </c>
      <c r="B7" s="1" t="str">
        <f t="shared" si="0"/>
        <v>Duty and Control</v>
      </c>
      <c r="C7" t="str">
        <f t="shared" si="1"/>
        <v>Action</v>
      </c>
      <c r="D7" t="str">
        <f t="shared" ca="1" si="2"/>
        <v>Crypticorps</v>
      </c>
      <c r="E7" t="str">
        <f t="shared" ca="1" si="3"/>
        <v>Moonware Interactive</v>
      </c>
      <c r="F7" t="str">
        <f t="shared" ca="1" si="4"/>
        <v>PEGI-12</v>
      </c>
      <c r="G7" s="6">
        <f t="shared" ca="1" si="7"/>
        <v>99</v>
      </c>
      <c r="H7" t="str">
        <f t="shared" ca="1" si="8"/>
        <v>17 Hours</v>
      </c>
      <c r="I7" t="str">
        <f t="shared" ca="1" si="5"/>
        <v>Collector</v>
      </c>
      <c r="J7" s="7">
        <f ca="1">IF(I7 =$Y$14, r_uniform(20,60,-1), IF(I7 =$Y$15, r_uniform(40,80,-1),IF(I7 =$Y$16, r_uniform(60,120,-1),IF(I7 =$Y$17, r_uniform(100,300,-1)))))</f>
        <v>180</v>
      </c>
      <c r="K7" s="10">
        <f t="shared" ca="1" si="9"/>
        <v>99</v>
      </c>
      <c r="L7" s="9">
        <f t="shared" ca="1" si="6"/>
        <v>0.45</v>
      </c>
      <c r="M7" s="9">
        <f t="shared" ca="1" si="10"/>
        <v>0.4</v>
      </c>
      <c r="N7">
        <f t="shared" ca="1" si="11"/>
        <v>581</v>
      </c>
      <c r="U7">
        <v>5</v>
      </c>
      <c r="V7" t="s">
        <v>4117</v>
      </c>
      <c r="W7" t="s">
        <v>4127</v>
      </c>
      <c r="X7" t="s">
        <v>4215</v>
      </c>
      <c r="Y7" t="s">
        <v>4236</v>
      </c>
      <c r="Z7" s="1" t="s">
        <v>4247</v>
      </c>
      <c r="AB7" s="1" t="s">
        <v>4248</v>
      </c>
      <c r="AC7" s="1" t="s">
        <v>5399</v>
      </c>
    </row>
    <row r="8" spans="1:29" x14ac:dyDescent="0.25">
      <c r="A8" s="3" t="s">
        <v>4321</v>
      </c>
      <c r="B8" s="1" t="str">
        <f t="shared" si="0"/>
        <v>Farforce</v>
      </c>
      <c r="C8" t="str">
        <f t="shared" si="1"/>
        <v>Action</v>
      </c>
      <c r="D8" t="str">
        <f t="shared" ca="1" si="2"/>
        <v>Crypticorps</v>
      </c>
      <c r="E8" t="str">
        <f t="shared" ca="1" si="3"/>
        <v>Numb Kitten Productions</v>
      </c>
      <c r="F8" t="str">
        <f t="shared" ca="1" si="4"/>
        <v>PEGI-16</v>
      </c>
      <c r="G8" s="6">
        <f t="shared" ca="1" si="7"/>
        <v>100</v>
      </c>
      <c r="H8" t="str">
        <f t="shared" ca="1" si="8"/>
        <v>61 Hours</v>
      </c>
      <c r="I8" t="str">
        <f t="shared" ca="1" si="5"/>
        <v>Gold</v>
      </c>
      <c r="J8" s="7">
        <f ca="1">IF(I8 =$Y$14, r_uniform(20,60,-1), IF(I8 =$Y$15, r_uniform(40,80,-1),IF(I8 =$Y$16, r_uniform(60,120,-1),IF(I8 =$Y$17, r_uniform(100,300,-1)))))</f>
        <v>110</v>
      </c>
      <c r="K8" s="10">
        <f t="shared" ca="1" si="9"/>
        <v>71.5</v>
      </c>
      <c r="L8" s="9">
        <f t="shared" ca="1" si="6"/>
        <v>0.35</v>
      </c>
      <c r="M8" s="9">
        <f t="shared" ca="1" si="10"/>
        <v>0.75</v>
      </c>
      <c r="N8">
        <f t="shared" ca="1" si="11"/>
        <v>155</v>
      </c>
      <c r="U8">
        <v>6</v>
      </c>
      <c r="V8" t="s">
        <v>4118</v>
      </c>
      <c r="W8" t="s">
        <v>4128</v>
      </c>
      <c r="X8" t="s">
        <v>4216</v>
      </c>
      <c r="Y8" t="s">
        <v>4237</v>
      </c>
      <c r="AB8" s="5" t="s">
        <v>4107</v>
      </c>
      <c r="AC8" t="s">
        <v>5400</v>
      </c>
    </row>
    <row r="9" spans="1:29" x14ac:dyDescent="0.25">
      <c r="A9" s="3" t="s">
        <v>4322</v>
      </c>
      <c r="B9" s="1" t="str">
        <f t="shared" si="0"/>
        <v>Blueborne</v>
      </c>
      <c r="C9" t="str">
        <f t="shared" si="1"/>
        <v>Action</v>
      </c>
      <c r="D9" t="str">
        <f t="shared" ca="1" si="2"/>
        <v>Surprisystems</v>
      </c>
      <c r="E9" t="str">
        <f t="shared" ca="1" si="3"/>
        <v>Fierce Studios</v>
      </c>
      <c r="F9" t="str">
        <f t="shared" ca="1" si="4"/>
        <v>PEGI-18</v>
      </c>
      <c r="G9" s="6">
        <f t="shared" ca="1" si="7"/>
        <v>50</v>
      </c>
      <c r="H9" t="str">
        <f t="shared" ca="1" si="8"/>
        <v>52 Hours</v>
      </c>
      <c r="I9" t="str">
        <f t="shared" ca="1" si="5"/>
        <v>Gold</v>
      </c>
      <c r="J9" s="7">
        <f ca="1">IF(I9 =$Y$14, r_uniform(20,60,-1), IF(I9 =$Y$15, r_uniform(40,80,-1),IF(I9 =$Y$16, r_uniform(60,120,-1),IF(I9 =$Y$17, r_uniform(100,300,-1)))))</f>
        <v>110</v>
      </c>
      <c r="K9" s="10">
        <f t="shared" ca="1" si="9"/>
        <v>71.5</v>
      </c>
      <c r="L9" s="9">
        <f t="shared" ca="1" si="6"/>
        <v>0.35</v>
      </c>
      <c r="M9" s="9">
        <f t="shared" ca="1" si="10"/>
        <v>0.75</v>
      </c>
      <c r="N9">
        <f t="shared" ca="1" si="11"/>
        <v>210</v>
      </c>
      <c r="U9">
        <v>7</v>
      </c>
      <c r="V9" t="s">
        <v>4119</v>
      </c>
      <c r="W9" t="s">
        <v>4129</v>
      </c>
      <c r="X9" t="s">
        <v>4217</v>
      </c>
      <c r="Y9" t="s">
        <v>4238</v>
      </c>
      <c r="AB9" s="1" t="s">
        <v>4110</v>
      </c>
      <c r="AC9" t="s">
        <v>5399</v>
      </c>
    </row>
    <row r="10" spans="1:29" x14ac:dyDescent="0.25">
      <c r="A10" s="3" t="s">
        <v>4323</v>
      </c>
      <c r="B10" s="1" t="str">
        <f t="shared" si="0"/>
        <v>Everrain</v>
      </c>
      <c r="C10" t="str">
        <f t="shared" si="1"/>
        <v>Action</v>
      </c>
      <c r="D10" t="str">
        <f t="shared" ca="1" si="2"/>
        <v>Cliff Acoustics</v>
      </c>
      <c r="E10" t="str">
        <f t="shared" ca="1" si="3"/>
        <v>Light Crow Games</v>
      </c>
      <c r="F10" t="str">
        <f t="shared" ca="1" si="4"/>
        <v>PEGI-12</v>
      </c>
      <c r="G10" s="6">
        <f t="shared" ca="1" si="7"/>
        <v>55</v>
      </c>
      <c r="H10" t="str">
        <f t="shared" ca="1" si="8"/>
        <v>74 Hours</v>
      </c>
      <c r="I10" t="str">
        <f t="shared" ca="1" si="5"/>
        <v>Deluxe</v>
      </c>
      <c r="J10" s="7">
        <f ca="1">IF(I10 =$Y$14, r_uniform(20,60,-1), IF(I10 =$Y$15, r_uniform(40,80,-1),IF(I10 =$Y$16, r_uniform(60,120,-1),IF(I10 =$Y$17, r_uniform(100,300,-1)))))</f>
        <v>70</v>
      </c>
      <c r="K10" s="10">
        <f t="shared" ca="1" si="9"/>
        <v>49</v>
      </c>
      <c r="L10" s="9">
        <f t="shared" ca="1" si="6"/>
        <v>0.3</v>
      </c>
      <c r="M10" s="9">
        <f t="shared" ca="1" si="10"/>
        <v>0.1</v>
      </c>
      <c r="N10">
        <f t="shared" ca="1" si="11"/>
        <v>800</v>
      </c>
      <c r="U10">
        <v>8</v>
      </c>
      <c r="V10" t="s">
        <v>4120</v>
      </c>
      <c r="W10" t="s">
        <v>4130</v>
      </c>
      <c r="X10" t="s">
        <v>4218</v>
      </c>
      <c r="Y10" t="s">
        <v>4239</v>
      </c>
      <c r="AB10" s="1" t="s">
        <v>4250</v>
      </c>
      <c r="AC10" t="s">
        <v>5399</v>
      </c>
    </row>
    <row r="11" spans="1:29" x14ac:dyDescent="0.25">
      <c r="A11" s="3" t="s">
        <v>4324</v>
      </c>
      <c r="B11" s="1" t="str">
        <f t="shared" si="0"/>
        <v>Antilust</v>
      </c>
      <c r="C11" t="str">
        <f t="shared" si="1"/>
        <v>Action</v>
      </c>
      <c r="D11" t="str">
        <f t="shared" ca="1" si="2"/>
        <v>Lionshine</v>
      </c>
      <c r="E11" t="str">
        <f t="shared" ca="1" si="3"/>
        <v>Pretty Mage Arts</v>
      </c>
      <c r="F11" t="str">
        <f t="shared" ca="1" si="4"/>
        <v>PEGI-12</v>
      </c>
      <c r="G11" s="6">
        <f t="shared" ca="1" si="7"/>
        <v>58</v>
      </c>
      <c r="H11" t="str">
        <f t="shared" ca="1" si="8"/>
        <v>21 Hours</v>
      </c>
      <c r="I11" t="str">
        <f t="shared" ca="1" si="5"/>
        <v>Gold</v>
      </c>
      <c r="J11" s="7">
        <f ca="1">IF(I11 =$Y$14, r_uniform(20,60,-1), IF(I11 =$Y$15, r_uniform(40,80,-1),IF(I11 =$Y$16, r_uniform(60,120,-1),IF(I11 =$Y$17, r_uniform(100,300,-1)))))</f>
        <v>110</v>
      </c>
      <c r="K11" s="10">
        <f t="shared" ca="1" si="9"/>
        <v>71.5</v>
      </c>
      <c r="L11" s="9">
        <f t="shared" ca="1" si="6"/>
        <v>0.35</v>
      </c>
      <c r="M11" s="9">
        <f t="shared" ca="1" si="10"/>
        <v>0.75</v>
      </c>
      <c r="N11">
        <f t="shared" ca="1" si="11"/>
        <v>59</v>
      </c>
      <c r="U11">
        <v>9</v>
      </c>
      <c r="V11" t="s">
        <v>4121</v>
      </c>
      <c r="W11" t="s">
        <v>4131</v>
      </c>
      <c r="X11" t="s">
        <v>4219</v>
      </c>
      <c r="Y11" t="s">
        <v>4240</v>
      </c>
      <c r="AB11" s="2" t="s">
        <v>4108</v>
      </c>
      <c r="AC11" t="s">
        <v>5400</v>
      </c>
    </row>
    <row r="12" spans="1:29" x14ac:dyDescent="0.25">
      <c r="A12" s="3" t="s">
        <v>4325</v>
      </c>
      <c r="B12" s="1" t="str">
        <f t="shared" si="0"/>
        <v>Heroic Legacy</v>
      </c>
      <c r="C12" t="str">
        <f t="shared" si="1"/>
        <v>Adventure</v>
      </c>
      <c r="D12" t="str">
        <f t="shared" ca="1" si="2"/>
        <v>Moondustries</v>
      </c>
      <c r="E12" t="str">
        <f t="shared" ca="1" si="3"/>
        <v>Blind Raccoon Productions</v>
      </c>
      <c r="F12" t="str">
        <f t="shared" ca="1" si="4"/>
        <v>PEGI-7</v>
      </c>
      <c r="G12" s="6">
        <f t="shared" ca="1" si="7"/>
        <v>54</v>
      </c>
      <c r="H12" t="str">
        <f t="shared" ca="1" si="8"/>
        <v>25 Hours</v>
      </c>
      <c r="I12" t="str">
        <f t="shared" ca="1" si="5"/>
        <v>Collector</v>
      </c>
      <c r="J12" s="7">
        <f ca="1">IF(I12 =$Y$14, r_uniform(20,60,-1), IF(I12 =$Y$15, r_uniform(40,80,-1),IF(I12 =$Y$16, r_uniform(60,120,-1),IF(I12 =$Y$17, r_uniform(100,300,-1)))))</f>
        <v>140</v>
      </c>
      <c r="K12" s="10">
        <f t="shared" ca="1" si="9"/>
        <v>77</v>
      </c>
      <c r="L12" s="9">
        <f t="shared" ca="1" si="6"/>
        <v>0.45</v>
      </c>
      <c r="M12" s="9">
        <f t="shared" ca="1" si="10"/>
        <v>0.75</v>
      </c>
      <c r="N12">
        <f t="shared" ca="1" si="11"/>
        <v>20</v>
      </c>
      <c r="U12">
        <v>0</v>
      </c>
      <c r="V12" t="s">
        <v>4122</v>
      </c>
      <c r="W12" t="s">
        <v>4132</v>
      </c>
      <c r="X12" t="s">
        <v>4220</v>
      </c>
      <c r="AB12" s="1" t="s">
        <v>4249</v>
      </c>
      <c r="AC12" t="s">
        <v>5400</v>
      </c>
    </row>
    <row r="13" spans="1:29" x14ac:dyDescent="0.25">
      <c r="A13" s="3" t="s">
        <v>4326</v>
      </c>
      <c r="B13" s="1" t="str">
        <f t="shared" si="0"/>
        <v>Dark Sect</v>
      </c>
      <c r="C13" t="str">
        <f t="shared" si="1"/>
        <v>Adventure</v>
      </c>
      <c r="D13" t="str">
        <f t="shared" ca="1" si="2"/>
        <v>Cliff Acoustics</v>
      </c>
      <c r="E13" t="str">
        <f t="shared" ca="1" si="3"/>
        <v>Subdomain Game Studios</v>
      </c>
      <c r="F13" t="str">
        <f t="shared" ca="1" si="4"/>
        <v>PEGI-3</v>
      </c>
      <c r="G13" s="6">
        <f t="shared" ca="1" si="7"/>
        <v>100</v>
      </c>
      <c r="H13" t="str">
        <f t="shared" ca="1" si="8"/>
        <v>17 Hours</v>
      </c>
      <c r="I13" t="str">
        <f t="shared" ca="1" si="5"/>
        <v>Standard</v>
      </c>
      <c r="J13" s="7">
        <f ca="1">IF(I13 =$Y$14, r_uniform(20,60,-1), IF(I13 =$Y$15, r_uniform(40,80,-1),IF(I13 =$Y$16, r_uniform(60,120,-1),IF(I13 =$Y$17, r_uniform(100,300,-1)))))</f>
        <v>20</v>
      </c>
      <c r="K13" s="10">
        <f t="shared" ca="1" si="9"/>
        <v>16</v>
      </c>
      <c r="L13" s="9">
        <f t="shared" ca="1" si="6"/>
        <v>0.2</v>
      </c>
      <c r="M13" s="9">
        <f t="shared" ca="1" si="10"/>
        <v>0.75</v>
      </c>
      <c r="N13">
        <f t="shared" ca="1" si="11"/>
        <v>285</v>
      </c>
      <c r="X13" t="s">
        <v>4221</v>
      </c>
      <c r="Y13" s="1" t="s">
        <v>4252</v>
      </c>
      <c r="AB13" s="8" t="s">
        <v>4251</v>
      </c>
      <c r="AC13" t="s">
        <v>5400</v>
      </c>
    </row>
    <row r="14" spans="1:29" x14ac:dyDescent="0.25">
      <c r="A14" s="3" t="s">
        <v>4327</v>
      </c>
      <c r="B14" s="1" t="str">
        <f t="shared" si="0"/>
        <v>Monsters of Nightmares</v>
      </c>
      <c r="C14" t="str">
        <f t="shared" si="1"/>
        <v>Adventure</v>
      </c>
      <c r="D14" t="str">
        <f t="shared" ca="1" si="2"/>
        <v>Fairyhive</v>
      </c>
      <c r="E14" t="str">
        <f t="shared" ca="1" si="3"/>
        <v>Filthy Door Interactive</v>
      </c>
      <c r="F14" t="str">
        <f t="shared" ca="1" si="4"/>
        <v>PEGI-16</v>
      </c>
      <c r="G14" s="6">
        <f t="shared" ca="1" si="7"/>
        <v>100</v>
      </c>
      <c r="H14" t="str">
        <f t="shared" ca="1" si="8"/>
        <v>75 Hours</v>
      </c>
      <c r="I14" t="str">
        <f t="shared" ca="1" si="5"/>
        <v>Collector</v>
      </c>
      <c r="J14" s="7">
        <f ca="1">IF(I14 =$Y$14, r_uniform(20,60,-1), IF(I14 =$Y$15, r_uniform(40,80,-1),IF(I14 =$Y$16, r_uniform(60,120,-1),IF(I14 =$Y$17, r_uniform(100,300,-1)))))</f>
        <v>110</v>
      </c>
      <c r="K14" s="10">
        <f t="shared" ca="1" si="9"/>
        <v>60.5</v>
      </c>
      <c r="L14" s="9">
        <f t="shared" ca="1" si="6"/>
        <v>0.45</v>
      </c>
      <c r="M14" s="9">
        <f t="shared" ca="1" si="10"/>
        <v>0.1</v>
      </c>
      <c r="N14">
        <f t="shared" ca="1" si="11"/>
        <v>694</v>
      </c>
      <c r="V14" s="1" t="s">
        <v>4135</v>
      </c>
      <c r="W14" s="1" t="s">
        <v>4146</v>
      </c>
      <c r="X14" t="s">
        <v>4222</v>
      </c>
      <c r="Y14" s="1" t="s">
        <v>4303</v>
      </c>
      <c r="AB14" s="8" t="s">
        <v>4111</v>
      </c>
      <c r="AC14" t="s">
        <v>5400</v>
      </c>
    </row>
    <row r="15" spans="1:29" x14ac:dyDescent="0.25">
      <c r="A15" s="3" t="s">
        <v>4328</v>
      </c>
      <c r="B15" s="1" t="str">
        <f t="shared" si="0"/>
        <v>Wizards of Sorrow</v>
      </c>
      <c r="C15" t="str">
        <f t="shared" si="1"/>
        <v>Adventure</v>
      </c>
      <c r="D15" t="str">
        <f t="shared" ca="1" si="2"/>
        <v>Moondustries</v>
      </c>
      <c r="E15" t="str">
        <f t="shared" ca="1" si="3"/>
        <v>Rare Spectre Arts</v>
      </c>
      <c r="F15" t="str">
        <f t="shared" ca="1" si="4"/>
        <v>PEGI-12</v>
      </c>
      <c r="G15" s="6">
        <f t="shared" ca="1" si="7"/>
        <v>60</v>
      </c>
      <c r="H15" t="str">
        <f t="shared" ca="1" si="8"/>
        <v>51 Hours</v>
      </c>
      <c r="I15" t="str">
        <f t="shared" ca="1" si="5"/>
        <v>Deluxe</v>
      </c>
      <c r="J15" s="7">
        <f ca="1">IF(I15 =$Y$14, r_uniform(20,60,-1), IF(I15 =$Y$15, r_uniform(40,80,-1),IF(I15 =$Y$16, r_uniform(60,120,-1),IF(I15 =$Y$17, r_uniform(100,300,-1)))))</f>
        <v>50</v>
      </c>
      <c r="K15" s="10">
        <f t="shared" ca="1" si="9"/>
        <v>35</v>
      </c>
      <c r="L15" s="9">
        <f t="shared" ca="1" si="6"/>
        <v>0.3</v>
      </c>
      <c r="M15" s="9">
        <f t="shared" ca="1" si="10"/>
        <v>0</v>
      </c>
      <c r="N15">
        <f t="shared" ca="1" si="11"/>
        <v>851</v>
      </c>
      <c r="U15">
        <v>1</v>
      </c>
      <c r="V15" t="s">
        <v>4136</v>
      </c>
      <c r="W15" t="s">
        <v>4147</v>
      </c>
      <c r="X15" t="s">
        <v>4223</v>
      </c>
      <c r="Y15" s="1" t="s">
        <v>4308</v>
      </c>
      <c r="AB15" s="1" t="s">
        <v>4109</v>
      </c>
      <c r="AC15" t="s">
        <v>5400</v>
      </c>
    </row>
    <row r="16" spans="1:29" x14ac:dyDescent="0.25">
      <c r="A16" s="3" t="s">
        <v>4329</v>
      </c>
      <c r="B16" s="1" t="str">
        <f t="shared" si="0"/>
        <v>Hand and Chronicles</v>
      </c>
      <c r="C16" t="str">
        <f t="shared" si="1"/>
        <v>Adventure</v>
      </c>
      <c r="D16" t="str">
        <f t="shared" ca="1" si="2"/>
        <v>Lionshine</v>
      </c>
      <c r="E16" t="str">
        <f t="shared" ca="1" si="3"/>
        <v>Winterpunch Game Studios</v>
      </c>
      <c r="F16" t="str">
        <f t="shared" ca="1" si="4"/>
        <v>PEGI-7</v>
      </c>
      <c r="G16" s="6">
        <f t="shared" ca="1" si="7"/>
        <v>93</v>
      </c>
      <c r="H16" t="str">
        <f t="shared" ca="1" si="8"/>
        <v>12 Hours</v>
      </c>
      <c r="I16" t="str">
        <f t="shared" ca="1" si="5"/>
        <v>Deluxe</v>
      </c>
      <c r="J16" s="7">
        <f ca="1">IF(I16 =$Y$14, r_uniform(20,60,-1), IF(I16 =$Y$15, r_uniform(40,80,-1),IF(I16 =$Y$16, r_uniform(60,120,-1),IF(I16 =$Y$17, r_uniform(100,300,-1)))))</f>
        <v>70</v>
      </c>
      <c r="K16" s="10">
        <f t="shared" ca="1" si="9"/>
        <v>49</v>
      </c>
      <c r="L16" s="9">
        <f t="shared" ca="1" si="6"/>
        <v>0.3</v>
      </c>
      <c r="M16" s="9">
        <f t="shared" ca="1" si="10"/>
        <v>0.75</v>
      </c>
      <c r="N16">
        <f t="shared" ca="1" si="11"/>
        <v>106</v>
      </c>
      <c r="U16">
        <v>2</v>
      </c>
      <c r="V16" t="s">
        <v>4137</v>
      </c>
      <c r="W16" t="s">
        <v>4148</v>
      </c>
      <c r="X16" t="s">
        <v>4224</v>
      </c>
      <c r="Y16" s="1" t="s">
        <v>291</v>
      </c>
    </row>
    <row r="17" spans="1:25" x14ac:dyDescent="0.25">
      <c r="A17" s="3" t="s">
        <v>4330</v>
      </c>
      <c r="B17" s="1" t="str">
        <f t="shared" si="0"/>
        <v>Heaven and Alchemy</v>
      </c>
      <c r="C17" t="str">
        <f t="shared" si="1"/>
        <v>Adventure</v>
      </c>
      <c r="D17" t="str">
        <f t="shared" ca="1" si="2"/>
        <v>Lionshine</v>
      </c>
      <c r="E17" t="str">
        <f t="shared" ca="1" si="3"/>
        <v>Moonware Interactive</v>
      </c>
      <c r="F17" t="str">
        <f t="shared" ca="1" si="4"/>
        <v>PEGI-12</v>
      </c>
      <c r="G17" s="6">
        <f t="shared" ca="1" si="7"/>
        <v>76</v>
      </c>
      <c r="H17" t="str">
        <f t="shared" ca="1" si="8"/>
        <v>72 Hours</v>
      </c>
      <c r="I17" t="str">
        <f t="shared" ca="1" si="5"/>
        <v>Collector</v>
      </c>
      <c r="J17" s="7">
        <f ca="1">IF(I17 =$Y$14, r_uniform(20,60,-1), IF(I17 =$Y$15, r_uniform(40,80,-1),IF(I17 =$Y$16, r_uniform(60,120,-1),IF(I17 =$Y$17, r_uniform(100,300,-1)))))</f>
        <v>260</v>
      </c>
      <c r="K17" s="10">
        <f t="shared" ca="1" si="9"/>
        <v>143</v>
      </c>
      <c r="L17" s="9">
        <f t="shared" ca="1" si="6"/>
        <v>0.45</v>
      </c>
      <c r="M17" s="9">
        <f t="shared" ca="1" si="10"/>
        <v>0</v>
      </c>
      <c r="N17">
        <f t="shared" ca="1" si="11"/>
        <v>856</v>
      </c>
      <c r="U17">
        <v>3</v>
      </c>
      <c r="V17" t="s">
        <v>4138</v>
      </c>
      <c r="W17" t="s">
        <v>4149</v>
      </c>
      <c r="X17" t="s">
        <v>4225</v>
      </c>
      <c r="Y17" s="1" t="s">
        <v>4304</v>
      </c>
    </row>
    <row r="18" spans="1:25" x14ac:dyDescent="0.25">
      <c r="A18" s="3" t="s">
        <v>4331</v>
      </c>
      <c r="B18" s="1" t="str">
        <f t="shared" si="0"/>
        <v>Madscape</v>
      </c>
      <c r="C18" t="str">
        <f t="shared" si="1"/>
        <v>Adventure</v>
      </c>
      <c r="D18" t="str">
        <f t="shared" ca="1" si="2"/>
        <v>Alphacom</v>
      </c>
      <c r="E18" t="str">
        <f t="shared" ca="1" si="3"/>
        <v>Winterpunch Game Studios</v>
      </c>
      <c r="F18" t="str">
        <f t="shared" ca="1" si="4"/>
        <v>PEGI-12</v>
      </c>
      <c r="G18" s="6">
        <f t="shared" ca="1" si="7"/>
        <v>51</v>
      </c>
      <c r="H18" t="str">
        <f t="shared" ca="1" si="8"/>
        <v>34 Hours</v>
      </c>
      <c r="I18" t="str">
        <f t="shared" ca="1" si="5"/>
        <v>Deluxe</v>
      </c>
      <c r="J18" s="7">
        <f ca="1">IF(I18 =$Y$14, r_uniform(20,60,-1), IF(I18 =$Y$15, r_uniform(40,80,-1),IF(I18 =$Y$16, r_uniform(60,120,-1),IF(I18 =$Y$17, r_uniform(100,300,-1)))))</f>
        <v>80</v>
      </c>
      <c r="K18" s="10">
        <f t="shared" ca="1" si="9"/>
        <v>56</v>
      </c>
      <c r="L18" s="9">
        <f t="shared" ca="1" si="6"/>
        <v>0.3</v>
      </c>
      <c r="M18" s="9">
        <f t="shared" ca="1" si="10"/>
        <v>0.1</v>
      </c>
      <c r="N18">
        <f t="shared" ca="1" si="11"/>
        <v>655</v>
      </c>
      <c r="U18">
        <v>4</v>
      </c>
      <c r="V18" t="s">
        <v>4139</v>
      </c>
      <c r="W18" t="s">
        <v>4150</v>
      </c>
      <c r="X18" t="s">
        <v>4226</v>
      </c>
    </row>
    <row r="19" spans="1:25" x14ac:dyDescent="0.25">
      <c r="A19" s="3" t="s">
        <v>4332</v>
      </c>
      <c r="B19" s="1" t="str">
        <f t="shared" si="0"/>
        <v>Bloodscape</v>
      </c>
      <c r="C19" t="str">
        <f t="shared" si="1"/>
        <v>Adventure</v>
      </c>
      <c r="D19" t="str">
        <f t="shared" ca="1" si="2"/>
        <v>Surprisystems</v>
      </c>
      <c r="E19" t="str">
        <f t="shared" ca="1" si="3"/>
        <v>Moonware Interactive</v>
      </c>
      <c r="F19" t="str">
        <f t="shared" ca="1" si="4"/>
        <v>PEGI-16</v>
      </c>
      <c r="G19" s="6">
        <f t="shared" ca="1" si="7"/>
        <v>79</v>
      </c>
      <c r="H19" t="str">
        <f t="shared" ca="1" si="8"/>
        <v>31 Hours</v>
      </c>
      <c r="I19" t="str">
        <f t="shared" ca="1" si="5"/>
        <v>Gold</v>
      </c>
      <c r="J19" s="7">
        <f ca="1">IF(I19 =$Y$14, r_uniform(20,60,-1), IF(I19 =$Y$15, r_uniform(40,80,-1),IF(I19 =$Y$16, r_uniform(60,120,-1),IF(I19 =$Y$17, r_uniform(100,300,-1)))))</f>
        <v>60</v>
      </c>
      <c r="K19" s="10">
        <f t="shared" ca="1" si="9"/>
        <v>39</v>
      </c>
      <c r="L19" s="9">
        <f t="shared" ca="1" si="6"/>
        <v>0.35</v>
      </c>
      <c r="M19" s="9">
        <f t="shared" ca="1" si="10"/>
        <v>0.75</v>
      </c>
      <c r="N19">
        <f t="shared" ca="1" si="11"/>
        <v>85</v>
      </c>
      <c r="U19">
        <v>5</v>
      </c>
      <c r="V19" t="s">
        <v>4140</v>
      </c>
      <c r="W19" t="s">
        <v>4151</v>
      </c>
      <c r="X19" t="s">
        <v>4227</v>
      </c>
    </row>
    <row r="20" spans="1:25" x14ac:dyDescent="0.25">
      <c r="A20" s="3" t="s">
        <v>4333</v>
      </c>
      <c r="B20" s="1" t="str">
        <f t="shared" si="0"/>
        <v>Chronorite</v>
      </c>
      <c r="C20" t="str">
        <f t="shared" si="1"/>
        <v>Adventure</v>
      </c>
      <c r="D20" t="str">
        <f t="shared" ca="1" si="2"/>
        <v>Lionshine</v>
      </c>
      <c r="E20" t="str">
        <f t="shared" ca="1" si="3"/>
        <v>Dapper Bull Media</v>
      </c>
      <c r="F20" t="str">
        <f t="shared" ca="1" si="4"/>
        <v>PEGI-7</v>
      </c>
      <c r="G20" s="6">
        <f t="shared" ca="1" si="7"/>
        <v>96</v>
      </c>
      <c r="H20" t="str">
        <f t="shared" ca="1" si="8"/>
        <v>20 Hours</v>
      </c>
      <c r="I20" t="str">
        <f t="shared" ca="1" si="5"/>
        <v>Standard</v>
      </c>
      <c r="J20" s="7">
        <f ca="1">IF(I20 =$Y$14, r_uniform(20,60,-1), IF(I20 =$Y$15, r_uniform(40,80,-1),IF(I20 =$Y$16, r_uniform(60,120,-1),IF(I20 =$Y$17, r_uniform(100,300,-1)))))</f>
        <v>20</v>
      </c>
      <c r="K20" s="10">
        <f t="shared" ca="1" si="9"/>
        <v>16</v>
      </c>
      <c r="L20" s="9">
        <f t="shared" ca="1" si="6"/>
        <v>0.2</v>
      </c>
      <c r="M20" s="9">
        <f t="shared" ca="1" si="10"/>
        <v>0.4</v>
      </c>
      <c r="N20">
        <f t="shared" ca="1" si="11"/>
        <v>320</v>
      </c>
      <c r="U20">
        <v>6</v>
      </c>
      <c r="V20" t="s">
        <v>4141</v>
      </c>
      <c r="W20" t="s">
        <v>4152</v>
      </c>
      <c r="X20" t="s">
        <v>4228</v>
      </c>
    </row>
    <row r="21" spans="1:25" x14ac:dyDescent="0.25">
      <c r="A21" s="3" t="s">
        <v>4334</v>
      </c>
      <c r="B21" s="1" t="str">
        <f t="shared" si="0"/>
        <v>Emberville</v>
      </c>
      <c r="C21" t="str">
        <f t="shared" si="1"/>
        <v>Adventure</v>
      </c>
      <c r="D21" t="str">
        <f t="shared" ca="1" si="2"/>
        <v>Alphacom</v>
      </c>
      <c r="E21" t="str">
        <f t="shared" ca="1" si="3"/>
        <v>Winterpunch Game Studios</v>
      </c>
      <c r="F21" t="str">
        <f t="shared" ca="1" si="4"/>
        <v>PEGI-7</v>
      </c>
      <c r="G21" s="6">
        <f t="shared" ca="1" si="7"/>
        <v>83</v>
      </c>
      <c r="H21" t="str">
        <f t="shared" ca="1" si="8"/>
        <v>60 Hours</v>
      </c>
      <c r="I21" t="str">
        <f t="shared" ca="1" si="5"/>
        <v>Gold</v>
      </c>
      <c r="J21" s="7">
        <f ca="1">IF(I21 =$Y$14, r_uniform(20,60,-1), IF(I21 =$Y$15, r_uniform(40,80,-1),IF(I21 =$Y$16, r_uniform(60,120,-1),IF(I21 =$Y$17, r_uniform(100,300,-1)))))</f>
        <v>80</v>
      </c>
      <c r="K21" s="10">
        <f t="shared" ca="1" si="9"/>
        <v>52</v>
      </c>
      <c r="L21" s="9">
        <f t="shared" ca="1" si="6"/>
        <v>0.35</v>
      </c>
      <c r="M21" s="9">
        <f t="shared" ca="1" si="10"/>
        <v>0.75</v>
      </c>
      <c r="N21">
        <f t="shared" ca="1" si="11"/>
        <v>134</v>
      </c>
      <c r="U21">
        <v>7</v>
      </c>
      <c r="V21" t="s">
        <v>4142</v>
      </c>
      <c r="W21" t="s">
        <v>4153</v>
      </c>
      <c r="X21" t="s">
        <v>4229</v>
      </c>
    </row>
    <row r="22" spans="1:25" x14ac:dyDescent="0.25">
      <c r="A22" s="3" t="s">
        <v>4335</v>
      </c>
      <c r="B22" s="1" t="str">
        <f t="shared" si="0"/>
        <v>Infernal Faction</v>
      </c>
      <c r="C22" t="str">
        <f t="shared" si="1"/>
        <v>RPG</v>
      </c>
      <c r="D22" t="str">
        <f t="shared" ca="1" si="2"/>
        <v>Alphacom</v>
      </c>
      <c r="E22" t="str">
        <f t="shared" ca="1" si="3"/>
        <v>Moonware Interactive</v>
      </c>
      <c r="F22" t="str">
        <f t="shared" ca="1" si="4"/>
        <v>PEGI-18</v>
      </c>
      <c r="G22" s="6">
        <f t="shared" ca="1" si="7"/>
        <v>92</v>
      </c>
      <c r="H22" t="str">
        <f t="shared" ca="1" si="8"/>
        <v>19 Hours</v>
      </c>
      <c r="I22" t="str">
        <f t="shared" ca="1" si="5"/>
        <v>Collector</v>
      </c>
      <c r="J22" s="7">
        <f ca="1">IF(I22 =$Y$14, r_uniform(20,60,-1), IF(I22 =$Y$15, r_uniform(40,80,-1),IF(I22 =$Y$16, r_uniform(60,120,-1),IF(I22 =$Y$17, r_uniform(100,300,-1)))))</f>
        <v>220</v>
      </c>
      <c r="K22" s="10">
        <f t="shared" ca="1" si="9"/>
        <v>121</v>
      </c>
      <c r="L22" s="9">
        <f t="shared" ca="1" si="6"/>
        <v>0.45</v>
      </c>
      <c r="M22" s="9">
        <f t="shared" ca="1" si="10"/>
        <v>0.75</v>
      </c>
      <c r="N22">
        <f t="shared" ca="1" si="11"/>
        <v>125</v>
      </c>
      <c r="U22">
        <v>8</v>
      </c>
      <c r="V22" t="s">
        <v>4143</v>
      </c>
      <c r="W22" t="s">
        <v>4154</v>
      </c>
      <c r="X22" t="s">
        <v>4230</v>
      </c>
    </row>
    <row r="23" spans="1:25" x14ac:dyDescent="0.25">
      <c r="A23" s="3" t="s">
        <v>4336</v>
      </c>
      <c r="B23" s="1" t="str">
        <f t="shared" si="0"/>
        <v>Eternal Harvest</v>
      </c>
      <c r="C23" t="str">
        <f t="shared" si="1"/>
        <v>RPG</v>
      </c>
      <c r="D23" t="str">
        <f t="shared" ca="1" si="2"/>
        <v>Surprisystems</v>
      </c>
      <c r="E23" t="str">
        <f t="shared" ca="1" si="3"/>
        <v>Thunderjam Interactive</v>
      </c>
      <c r="F23" t="str">
        <f t="shared" ca="1" si="4"/>
        <v>PEGI-18</v>
      </c>
      <c r="G23" s="6">
        <f t="shared" ca="1" si="7"/>
        <v>55</v>
      </c>
      <c r="H23" t="str">
        <f t="shared" ca="1" si="8"/>
        <v>50 Hours</v>
      </c>
      <c r="I23" t="str">
        <f t="shared" ca="1" si="5"/>
        <v>Standard</v>
      </c>
      <c r="J23" s="7">
        <f ca="1">IF(I23 =$Y$14, r_uniform(20,60,-1), IF(I23 =$Y$15, r_uniform(40,80,-1),IF(I23 =$Y$16, r_uniform(60,120,-1),IF(I23 =$Y$17, r_uniform(100,300,-1)))))</f>
        <v>60</v>
      </c>
      <c r="K23" s="10">
        <f t="shared" ca="1" si="9"/>
        <v>48</v>
      </c>
      <c r="L23" s="9">
        <f t="shared" ca="1" si="6"/>
        <v>0.2</v>
      </c>
      <c r="M23" s="9">
        <f t="shared" ca="1" si="10"/>
        <v>0.75</v>
      </c>
      <c r="N23">
        <f t="shared" ca="1" si="11"/>
        <v>140</v>
      </c>
      <c r="U23">
        <v>9</v>
      </c>
      <c r="V23" t="s">
        <v>4144</v>
      </c>
      <c r="W23" t="s">
        <v>4155</v>
      </c>
    </row>
    <row r="24" spans="1:25" x14ac:dyDescent="0.25">
      <c r="A24" s="3" t="s">
        <v>4337</v>
      </c>
      <c r="B24" s="1" t="str">
        <f t="shared" si="0"/>
        <v>Magic of Mythology</v>
      </c>
      <c r="C24" t="str">
        <f t="shared" si="1"/>
        <v>RPG</v>
      </c>
      <c r="D24" t="str">
        <f t="shared" ca="1" si="2"/>
        <v>Lionshine</v>
      </c>
      <c r="E24" t="str">
        <f t="shared" ca="1" si="3"/>
        <v>Pretty Mage Arts</v>
      </c>
      <c r="F24" t="str">
        <f t="shared" ca="1" si="4"/>
        <v>PEGI-16</v>
      </c>
      <c r="G24" s="6">
        <f t="shared" ca="1" si="7"/>
        <v>81</v>
      </c>
      <c r="H24" t="str">
        <f t="shared" ca="1" si="8"/>
        <v>26 Hours</v>
      </c>
      <c r="I24" t="str">
        <f t="shared" ca="1" si="5"/>
        <v>Collector</v>
      </c>
      <c r="J24" s="7">
        <f ca="1">IF(I24 =$Y$14, r_uniform(20,60,-1), IF(I24 =$Y$15, r_uniform(40,80,-1),IF(I24 =$Y$16, r_uniform(60,120,-1),IF(I24 =$Y$17, r_uniform(100,300,-1)))))</f>
        <v>220</v>
      </c>
      <c r="K24" s="10">
        <f t="shared" ca="1" si="9"/>
        <v>121</v>
      </c>
      <c r="L24" s="9">
        <f t="shared" ca="1" si="6"/>
        <v>0.45</v>
      </c>
      <c r="M24" s="9">
        <f t="shared" ca="1" si="10"/>
        <v>0.4</v>
      </c>
      <c r="N24">
        <f t="shared" ca="1" si="11"/>
        <v>328</v>
      </c>
      <c r="U24">
        <v>0</v>
      </c>
      <c r="V24" t="s">
        <v>4145</v>
      </c>
      <c r="W24" t="s">
        <v>4156</v>
      </c>
    </row>
    <row r="25" spans="1:25" x14ac:dyDescent="0.25">
      <c r="A25" s="3" t="s">
        <v>4338</v>
      </c>
      <c r="B25" s="1" t="str">
        <f t="shared" si="0"/>
        <v>Spirits of Heritage</v>
      </c>
      <c r="C25" t="str">
        <f t="shared" si="1"/>
        <v>RPG</v>
      </c>
      <c r="D25" t="str">
        <f t="shared" ca="1" si="2"/>
        <v>Cliff Acoustics</v>
      </c>
      <c r="E25" t="str">
        <f t="shared" ca="1" si="3"/>
        <v>Thunderstorm Studios</v>
      </c>
      <c r="F25" t="str">
        <f t="shared" ca="1" si="4"/>
        <v>PEGI-12</v>
      </c>
      <c r="G25" s="6">
        <f t="shared" ca="1" si="7"/>
        <v>52</v>
      </c>
      <c r="H25" t="str">
        <f t="shared" ca="1" si="8"/>
        <v>62 Hours</v>
      </c>
      <c r="I25" t="str">
        <f t="shared" ca="1" si="5"/>
        <v>Deluxe</v>
      </c>
      <c r="J25" s="7">
        <f ca="1">IF(I25 =$Y$14, r_uniform(20,60,-1), IF(I25 =$Y$15, r_uniform(40,80,-1),IF(I25 =$Y$16, r_uniform(60,120,-1),IF(I25 =$Y$17, r_uniform(100,300,-1)))))</f>
        <v>60</v>
      </c>
      <c r="K25" s="10">
        <f t="shared" ca="1" si="9"/>
        <v>42</v>
      </c>
      <c r="L25" s="9">
        <f t="shared" ca="1" si="6"/>
        <v>0.3</v>
      </c>
      <c r="M25" s="9">
        <f t="shared" ca="1" si="10"/>
        <v>0.75</v>
      </c>
      <c r="N25">
        <f t="shared" ca="1" si="11"/>
        <v>101</v>
      </c>
    </row>
    <row r="26" spans="1:25" x14ac:dyDescent="0.25">
      <c r="A26" s="3" t="s">
        <v>4339</v>
      </c>
      <c r="B26" s="1" t="str">
        <f t="shared" si="0"/>
        <v>Enemy and Demons</v>
      </c>
      <c r="C26" t="str">
        <f t="shared" si="1"/>
        <v>RPG</v>
      </c>
      <c r="D26" t="str">
        <f t="shared" ca="1" si="2"/>
        <v>Alphacom</v>
      </c>
      <c r="E26" t="str">
        <f t="shared" ca="1" si="3"/>
        <v>Blind Raccoon Productions</v>
      </c>
      <c r="F26" t="str">
        <f t="shared" ca="1" si="4"/>
        <v>PEGI-3</v>
      </c>
      <c r="G26" s="6">
        <f t="shared" ca="1" si="7"/>
        <v>70</v>
      </c>
      <c r="H26" t="str">
        <f t="shared" ca="1" si="8"/>
        <v>34 Hours</v>
      </c>
      <c r="I26" t="str">
        <f t="shared" ca="1" si="5"/>
        <v>Deluxe</v>
      </c>
      <c r="J26" s="7">
        <f ca="1">IF(I26 =$Y$14, r_uniform(20,60,-1), IF(I26 =$Y$15, r_uniform(40,80,-1),IF(I26 =$Y$16, r_uniform(60,120,-1),IF(I26 =$Y$17, r_uniform(100,300,-1)))))</f>
        <v>70</v>
      </c>
      <c r="K26" s="10">
        <f t="shared" ca="1" si="9"/>
        <v>49</v>
      </c>
      <c r="L26" s="9">
        <f t="shared" ca="1" si="6"/>
        <v>0.3</v>
      </c>
      <c r="M26" s="9">
        <f t="shared" ca="1" si="10"/>
        <v>0.75</v>
      </c>
      <c r="N26">
        <f t="shared" ca="1" si="11"/>
        <v>24</v>
      </c>
      <c r="V26" t="str">
        <f t="shared" ref="V26:V65" ca="1" si="12">insertinto(A2:N2,$AB$2:$AC$15,"Games")</f>
        <v>insert into Games values ('Prod-001', 'Red Omen', 'Action', 'Surprisystems', 'Vagabond Interactive', 'PEGI-16', 85, '38 Hours', 'Deluxe', 40, 28, 0.3, 0, 996);</v>
      </c>
    </row>
    <row r="27" spans="1:25" x14ac:dyDescent="0.25">
      <c r="A27" s="3" t="s">
        <v>4340</v>
      </c>
      <c r="B27" s="1" t="str">
        <f t="shared" si="0"/>
        <v>Honor and Earth</v>
      </c>
      <c r="C27" t="str">
        <f t="shared" si="1"/>
        <v>RPG</v>
      </c>
      <c r="D27" t="str">
        <f t="shared" ca="1" si="2"/>
        <v>Moondustries</v>
      </c>
      <c r="E27" t="str">
        <f t="shared" ca="1" si="3"/>
        <v>Winterpunch Game Studios</v>
      </c>
      <c r="F27" t="str">
        <f t="shared" ca="1" si="4"/>
        <v>PEGI-18</v>
      </c>
      <c r="G27" s="6">
        <f t="shared" ca="1" si="7"/>
        <v>97</v>
      </c>
      <c r="H27" t="str">
        <f t="shared" ca="1" si="8"/>
        <v>52 Hours</v>
      </c>
      <c r="I27" t="str">
        <f t="shared" ca="1" si="5"/>
        <v>Standard</v>
      </c>
      <c r="J27" s="7">
        <f ca="1">IF(I27 =$Y$14, r_uniform(20,60,-1), IF(I27 =$Y$15, r_uniform(40,80,-1),IF(I27 =$Y$16, r_uniform(60,120,-1),IF(I27 =$Y$17, r_uniform(100,300,-1)))))</f>
        <v>30</v>
      </c>
      <c r="K27" s="10">
        <f t="shared" ca="1" si="9"/>
        <v>24</v>
      </c>
      <c r="L27" s="9">
        <f t="shared" ca="1" si="6"/>
        <v>0.2</v>
      </c>
      <c r="M27" s="9">
        <f t="shared" ca="1" si="10"/>
        <v>0.75</v>
      </c>
      <c r="N27">
        <f t="shared" ca="1" si="11"/>
        <v>11</v>
      </c>
      <c r="V27" t="str">
        <f t="shared" ca="1" si="12"/>
        <v>insert into Games values ('Prod-002', 'Titan Carnage', 'Action', 'Heartpoint', 'Thunderjam Interactive', 'PEGI-12', 81, '17 Hours', 'Collector', 240, 132, 0.45, 0.75, 209);</v>
      </c>
    </row>
    <row r="28" spans="1:25" x14ac:dyDescent="0.25">
      <c r="A28" s="3" t="s">
        <v>4341</v>
      </c>
      <c r="B28" s="1" t="str">
        <f t="shared" si="0"/>
        <v>Shardforce</v>
      </c>
      <c r="C28" t="str">
        <f t="shared" si="1"/>
        <v>RPG</v>
      </c>
      <c r="D28" t="str">
        <f t="shared" ca="1" si="2"/>
        <v>Heartpoint</v>
      </c>
      <c r="E28" t="str">
        <f t="shared" ca="1" si="3"/>
        <v>Dapper Bull Media</v>
      </c>
      <c r="F28" t="str">
        <f t="shared" ca="1" si="4"/>
        <v>PEGI-16</v>
      </c>
      <c r="G28" s="6">
        <f t="shared" ca="1" si="7"/>
        <v>75</v>
      </c>
      <c r="H28" t="str">
        <f t="shared" ca="1" si="8"/>
        <v>12 Hours</v>
      </c>
      <c r="I28" t="str">
        <f t="shared" ca="1" si="5"/>
        <v>Deluxe</v>
      </c>
      <c r="J28" s="7">
        <f ca="1">IF(I28 =$Y$14, r_uniform(20,60,-1), IF(I28 =$Y$15, r_uniform(40,80,-1),IF(I28 =$Y$16, r_uniform(60,120,-1),IF(I28 =$Y$17, r_uniform(100,300,-1)))))</f>
        <v>70</v>
      </c>
      <c r="K28" s="10">
        <f t="shared" ca="1" si="9"/>
        <v>49</v>
      </c>
      <c r="L28" s="9">
        <f t="shared" ca="1" si="6"/>
        <v>0.3</v>
      </c>
      <c r="M28" s="9">
        <f t="shared" ca="1" si="10"/>
        <v>0.4</v>
      </c>
      <c r="N28">
        <f t="shared" ca="1" si="11"/>
        <v>365</v>
      </c>
      <c r="V28" t="str">
        <f t="shared" ca="1" si="12"/>
        <v>insert into Games values ('Prod-003', 'Pillage of Opportunity', 'Action', 'Cliff Acoustics', 'Starsoft Productions', 'PEGI-7', 62, '28 Hours', 'Collector', 280, 154, 0.45, 0, 826);</v>
      </c>
    </row>
    <row r="29" spans="1:25" x14ac:dyDescent="0.25">
      <c r="A29" s="3" t="s">
        <v>4342</v>
      </c>
      <c r="B29" s="1" t="str">
        <f t="shared" si="0"/>
        <v>Warhunt</v>
      </c>
      <c r="C29" t="str">
        <f t="shared" si="1"/>
        <v>RPG</v>
      </c>
      <c r="D29" t="str">
        <f t="shared" ca="1" si="2"/>
        <v>Cliff Acoustics</v>
      </c>
      <c r="E29" t="str">
        <f t="shared" ca="1" si="3"/>
        <v>Dumb Luck Entertainment</v>
      </c>
      <c r="F29" t="str">
        <f t="shared" ca="1" si="4"/>
        <v>PEGI-18</v>
      </c>
      <c r="G29" s="6">
        <f t="shared" ca="1" si="7"/>
        <v>51</v>
      </c>
      <c r="H29" t="str">
        <f t="shared" ca="1" si="8"/>
        <v>66 Hours</v>
      </c>
      <c r="I29" t="str">
        <f t="shared" ca="1" si="5"/>
        <v>Gold</v>
      </c>
      <c r="J29" s="7">
        <f ca="1">IF(I29 =$Y$14, r_uniform(20,60,-1), IF(I29 =$Y$15, r_uniform(40,80,-1),IF(I29 =$Y$16, r_uniform(60,120,-1),IF(I29 =$Y$17, r_uniform(100,300,-1)))))</f>
        <v>80</v>
      </c>
      <c r="K29" s="10">
        <f t="shared" ca="1" si="9"/>
        <v>52</v>
      </c>
      <c r="L29" s="9">
        <f t="shared" ca="1" si="6"/>
        <v>0.35</v>
      </c>
      <c r="M29" s="9">
        <f t="shared" ca="1" si="10"/>
        <v>0.1</v>
      </c>
      <c r="N29">
        <f t="shared" ca="1" si="11"/>
        <v>610</v>
      </c>
      <c r="V29" t="str">
        <f t="shared" ca="1" si="12"/>
        <v>insert into Games values ('Prod-004', 'Vengeance of Trickery', 'Action', 'Surprisystems', 'Rare Spectre Arts', 'PEGI-16', 69, '35 Hours', 'Standard', 50, 40, 0.2, 0.75, 114);</v>
      </c>
    </row>
    <row r="30" spans="1:25" x14ac:dyDescent="0.25">
      <c r="A30" s="3" t="s">
        <v>4343</v>
      </c>
      <c r="B30" s="1" t="str">
        <f t="shared" si="0"/>
        <v>Magechild</v>
      </c>
      <c r="C30" t="str">
        <f t="shared" si="1"/>
        <v>RPG</v>
      </c>
      <c r="D30" t="str">
        <f t="shared" ca="1" si="2"/>
        <v>Cliff Acoustics</v>
      </c>
      <c r="E30" t="str">
        <f t="shared" ca="1" si="3"/>
        <v>Honest Door Entertainment</v>
      </c>
      <c r="F30" t="str">
        <f t="shared" ca="1" si="4"/>
        <v>PEGI-18</v>
      </c>
      <c r="G30" s="6">
        <f t="shared" ca="1" si="7"/>
        <v>90</v>
      </c>
      <c r="H30" t="str">
        <f t="shared" ca="1" si="8"/>
        <v>65 Hours</v>
      </c>
      <c r="I30" t="str">
        <f t="shared" ca="1" si="5"/>
        <v>Gold</v>
      </c>
      <c r="J30" s="7">
        <f ca="1">IF(I30 =$Y$14, r_uniform(20,60,-1), IF(I30 =$Y$15, r_uniform(40,80,-1),IF(I30 =$Y$16, r_uniform(60,120,-1),IF(I30 =$Y$17, r_uniform(100,300,-1)))))</f>
        <v>100</v>
      </c>
      <c r="K30" s="10">
        <f t="shared" ca="1" si="9"/>
        <v>65</v>
      </c>
      <c r="L30" s="9">
        <f t="shared" ca="1" si="6"/>
        <v>0.35</v>
      </c>
      <c r="M30" s="9">
        <f t="shared" ca="1" si="10"/>
        <v>0.1</v>
      </c>
      <c r="N30">
        <f t="shared" ca="1" si="11"/>
        <v>661</v>
      </c>
      <c r="V30" t="str">
        <f t="shared" ca="1" si="12"/>
        <v>insert into Games values ('Prod-005', 'Ghosts and Command', 'Action', 'Fairyhive', 'Numb Kitten Productions', 'PEGI-18', 51, '45 Hours', 'Collector', 180, 99, 0.45, 0, 852);</v>
      </c>
    </row>
    <row r="31" spans="1:25" x14ac:dyDescent="0.25">
      <c r="A31" s="3" t="s">
        <v>4344</v>
      </c>
      <c r="B31" s="1" t="str">
        <f t="shared" si="0"/>
        <v>Arcanepath</v>
      </c>
      <c r="C31" t="str">
        <f t="shared" si="1"/>
        <v>RPG</v>
      </c>
      <c r="D31" t="str">
        <f t="shared" ca="1" si="2"/>
        <v>Alphacom</v>
      </c>
      <c r="E31" t="str">
        <f t="shared" ca="1" si="3"/>
        <v>Pretty Mage Arts</v>
      </c>
      <c r="F31" t="str">
        <f t="shared" ca="1" si="4"/>
        <v>PEGI-12</v>
      </c>
      <c r="G31" s="6">
        <f t="shared" ca="1" si="7"/>
        <v>72</v>
      </c>
      <c r="H31" t="str">
        <f t="shared" ca="1" si="8"/>
        <v>65 Hours</v>
      </c>
      <c r="I31" t="str">
        <f t="shared" ca="1" si="5"/>
        <v>Collector</v>
      </c>
      <c r="J31" s="7">
        <f ca="1">IF(I31 =$Y$14, r_uniform(20,60,-1), IF(I31 =$Y$15, r_uniform(40,80,-1),IF(I31 =$Y$16, r_uniform(60,120,-1),IF(I31 =$Y$17, r_uniform(100,300,-1)))))</f>
        <v>140</v>
      </c>
      <c r="K31" s="10">
        <f t="shared" ca="1" si="9"/>
        <v>77</v>
      </c>
      <c r="L31" s="9">
        <f t="shared" ca="1" si="6"/>
        <v>0.45</v>
      </c>
      <c r="M31" s="9">
        <f t="shared" ca="1" si="10"/>
        <v>0.75</v>
      </c>
      <c r="N31">
        <f t="shared" ca="1" si="11"/>
        <v>19</v>
      </c>
      <c r="V31" t="str">
        <f t="shared" ca="1" si="12"/>
        <v>insert into Games values ('Prod-006', 'Duty and Control', 'Action', 'Crypticorps', 'Moonware Interactive', 'PEGI-12', 99, '17 Hours', 'Collector', 180, 99, 0.45, 0.4, 581);</v>
      </c>
    </row>
    <row r="32" spans="1:25" x14ac:dyDescent="0.25">
      <c r="A32" s="3" t="s">
        <v>4345</v>
      </c>
      <c r="B32" s="1" t="str">
        <f t="shared" si="0"/>
        <v>Android Dynasty</v>
      </c>
      <c r="C32" t="str">
        <f t="shared" si="1"/>
        <v>Strategy</v>
      </c>
      <c r="D32" t="str">
        <f t="shared" ca="1" si="2"/>
        <v>Surprisystems</v>
      </c>
      <c r="E32" t="str">
        <f t="shared" ca="1" si="3"/>
        <v>Scary Lizard Productions</v>
      </c>
      <c r="F32" t="str">
        <f t="shared" ca="1" si="4"/>
        <v>PEGI-3</v>
      </c>
      <c r="G32" s="6">
        <f t="shared" ca="1" si="7"/>
        <v>81</v>
      </c>
      <c r="H32" t="str">
        <f t="shared" ca="1" si="8"/>
        <v>77 Hours</v>
      </c>
      <c r="I32" t="str">
        <f t="shared" ca="1" si="5"/>
        <v>Gold</v>
      </c>
      <c r="J32" s="7">
        <f ca="1">IF(I32 =$Y$14, r_uniform(20,60,-1), IF(I32 =$Y$15, r_uniform(40,80,-1),IF(I32 =$Y$16, r_uniform(60,120,-1),IF(I32 =$Y$17, r_uniform(100,300,-1)))))</f>
        <v>90</v>
      </c>
      <c r="K32" s="10">
        <f t="shared" ca="1" si="9"/>
        <v>58.5</v>
      </c>
      <c r="L32" s="9">
        <f t="shared" ca="1" si="6"/>
        <v>0.35</v>
      </c>
      <c r="M32" s="9">
        <f t="shared" ca="1" si="10"/>
        <v>0.4</v>
      </c>
      <c r="N32">
        <f t="shared" ca="1" si="11"/>
        <v>468</v>
      </c>
      <c r="V32" t="str">
        <f t="shared" ca="1" si="12"/>
        <v>insert into Games values ('Prod-007', 'Farforce', 'Action', 'Crypticorps', 'Numb Kitten Productions', 'PEGI-16', 100, '61 Hours', 'Gold', 110, 71.5, 0.35, 0.75, 155);</v>
      </c>
    </row>
    <row r="33" spans="1:22" x14ac:dyDescent="0.25">
      <c r="A33" s="3" t="s">
        <v>4346</v>
      </c>
      <c r="B33" s="1" t="str">
        <f t="shared" si="0"/>
        <v>Blood Cataclysm</v>
      </c>
      <c r="C33" t="str">
        <f t="shared" si="1"/>
        <v>Strategy</v>
      </c>
      <c r="D33" t="str">
        <f t="shared" ca="1" si="2"/>
        <v>Heartpoint</v>
      </c>
      <c r="E33" t="str">
        <f t="shared" ca="1" si="3"/>
        <v>Thunderstorm Studios</v>
      </c>
      <c r="F33" t="str">
        <f t="shared" ca="1" si="4"/>
        <v>PEGI-16</v>
      </c>
      <c r="G33" s="6">
        <f t="shared" ca="1" si="7"/>
        <v>52</v>
      </c>
      <c r="H33" t="str">
        <f t="shared" ca="1" si="8"/>
        <v>46 Hours</v>
      </c>
      <c r="I33" t="str">
        <f t="shared" ca="1" si="5"/>
        <v>Collector</v>
      </c>
      <c r="J33" s="7">
        <f ca="1">IF(I33 =$Y$14, r_uniform(20,60,-1), IF(I33 =$Y$15, r_uniform(40,80,-1),IF(I33 =$Y$16, r_uniform(60,120,-1),IF(I33 =$Y$17, r_uniform(100,300,-1)))))</f>
        <v>300</v>
      </c>
      <c r="K33" s="10">
        <f t="shared" ca="1" si="9"/>
        <v>165</v>
      </c>
      <c r="L33" s="9">
        <f t="shared" ca="1" si="6"/>
        <v>0.45</v>
      </c>
      <c r="M33" s="9">
        <f t="shared" ca="1" si="10"/>
        <v>0.75</v>
      </c>
      <c r="N33">
        <f t="shared" ca="1" si="11"/>
        <v>240</v>
      </c>
      <c r="V33" t="str">
        <f t="shared" ca="1" si="12"/>
        <v>insert into Games values ('Prod-008', 'Blueborne', 'Action', 'Surprisystems', 'Fierce Studios', 'PEGI-18', 50, '52 Hours', 'Gold', 110, 71.5, 0.35, 0.75, 210);</v>
      </c>
    </row>
    <row r="34" spans="1:22" x14ac:dyDescent="0.25">
      <c r="A34" s="3" t="s">
        <v>4347</v>
      </c>
      <c r="B34" s="1" t="str">
        <f t="shared" si="0"/>
        <v>Warlords of Turmoil</v>
      </c>
      <c r="C34" t="str">
        <f t="shared" si="1"/>
        <v>Strategy</v>
      </c>
      <c r="D34" t="str">
        <f t="shared" ca="1" si="2"/>
        <v>Heartpoint</v>
      </c>
      <c r="E34" t="str">
        <f t="shared" ca="1" si="3"/>
        <v>Honest Door Entertainment</v>
      </c>
      <c r="F34" t="str">
        <f t="shared" ca="1" si="4"/>
        <v>PEGI-7</v>
      </c>
      <c r="G34" s="6">
        <f t="shared" ca="1" si="7"/>
        <v>50</v>
      </c>
      <c r="H34" t="str">
        <f t="shared" ca="1" si="8"/>
        <v>14 Hours</v>
      </c>
      <c r="I34" t="str">
        <f t="shared" ca="1" si="5"/>
        <v>Gold</v>
      </c>
      <c r="J34" s="7">
        <f ca="1">IF(I34 =$Y$14, r_uniform(20,60,-1), IF(I34 =$Y$15, r_uniform(40,80,-1),IF(I34 =$Y$16, r_uniform(60,120,-1),IF(I34 =$Y$17, r_uniform(100,300,-1)))))</f>
        <v>120</v>
      </c>
      <c r="K34" s="10">
        <f t="shared" ca="1" si="9"/>
        <v>78</v>
      </c>
      <c r="L34" s="9">
        <f t="shared" ca="1" si="6"/>
        <v>0.35</v>
      </c>
      <c r="M34" s="9">
        <f t="shared" ca="1" si="10"/>
        <v>0.75</v>
      </c>
      <c r="N34">
        <f t="shared" ca="1" si="11"/>
        <v>116</v>
      </c>
      <c r="V34" t="str">
        <f t="shared" ca="1" si="12"/>
        <v>insert into Games values ('Prod-009', 'Everrain', 'Action', 'Cliff Acoustics', 'Light Crow Games', 'PEGI-12', 55, '74 Hours', 'Deluxe', 70, 49, 0.3, 0.1, 800);</v>
      </c>
    </row>
    <row r="35" spans="1:22" x14ac:dyDescent="0.25">
      <c r="A35" s="3" t="s">
        <v>4348</v>
      </c>
      <c r="B35" s="1" t="str">
        <f t="shared" si="0"/>
        <v>Titans of Pain</v>
      </c>
      <c r="C35" t="str">
        <f t="shared" si="1"/>
        <v>Strategy</v>
      </c>
      <c r="D35" t="str">
        <f t="shared" ca="1" si="2"/>
        <v>Cliff Acoustics</v>
      </c>
      <c r="E35" t="str">
        <f t="shared" ca="1" si="3"/>
        <v>Scary Lizard Productions</v>
      </c>
      <c r="F35" t="str">
        <f t="shared" ca="1" si="4"/>
        <v>PEGI-12</v>
      </c>
      <c r="G35" s="6">
        <f t="shared" ca="1" si="7"/>
        <v>77</v>
      </c>
      <c r="H35" t="str">
        <f t="shared" ca="1" si="8"/>
        <v>67 Hours</v>
      </c>
      <c r="I35" t="str">
        <f t="shared" ca="1" si="5"/>
        <v>Collector</v>
      </c>
      <c r="J35" s="7">
        <f ca="1">IF(I35 =$Y$14, r_uniform(20,60,-1), IF(I35 =$Y$15, r_uniform(40,80,-1),IF(I35 =$Y$16, r_uniform(60,120,-1),IF(I35 =$Y$17, r_uniform(100,300,-1)))))</f>
        <v>100</v>
      </c>
      <c r="K35" s="10">
        <f t="shared" ca="1" si="9"/>
        <v>55</v>
      </c>
      <c r="L35" s="9">
        <f t="shared" ca="1" si="6"/>
        <v>0.45</v>
      </c>
      <c r="M35" s="9">
        <f t="shared" ca="1" si="10"/>
        <v>0</v>
      </c>
      <c r="N35">
        <f t="shared" ca="1" si="11"/>
        <v>829</v>
      </c>
      <c r="V35" t="str">
        <f t="shared" ca="1" si="12"/>
        <v>insert into Games values ('Prod-010', 'Antilust', 'Action', 'Lionshine', 'Pretty Mage Arts', 'PEGI-12', 58, '21 Hours', 'Gold', 110, 71.5, 0.35, 0.75, 59);</v>
      </c>
    </row>
    <row r="36" spans="1:22" x14ac:dyDescent="0.25">
      <c r="A36" s="3" t="s">
        <v>4349</v>
      </c>
      <c r="B36" s="1" t="str">
        <f t="shared" si="0"/>
        <v>Legions and Warlords</v>
      </c>
      <c r="C36" t="str">
        <f t="shared" si="1"/>
        <v>Strategy</v>
      </c>
      <c r="D36" t="str">
        <f t="shared" ca="1" si="2"/>
        <v>Moondustries</v>
      </c>
      <c r="E36" t="str">
        <f t="shared" ca="1" si="3"/>
        <v>Winterpunch Game Studios</v>
      </c>
      <c r="F36" t="str">
        <f t="shared" ca="1" si="4"/>
        <v>PEGI-12</v>
      </c>
      <c r="G36" s="6">
        <f t="shared" ca="1" si="7"/>
        <v>70</v>
      </c>
      <c r="H36" t="str">
        <f t="shared" ca="1" si="8"/>
        <v>41 Hours</v>
      </c>
      <c r="I36" t="str">
        <f t="shared" ca="1" si="5"/>
        <v>Standard</v>
      </c>
      <c r="J36" s="7">
        <f ca="1">IF(I36 =$Y$14, r_uniform(20,60,-1), IF(I36 =$Y$15, r_uniform(40,80,-1),IF(I36 =$Y$16, r_uniform(60,120,-1),IF(I36 =$Y$17, r_uniform(100,300,-1)))))</f>
        <v>50</v>
      </c>
      <c r="K36" s="10">
        <f t="shared" ca="1" si="9"/>
        <v>40</v>
      </c>
      <c r="L36" s="9">
        <f t="shared" ca="1" si="6"/>
        <v>0.2</v>
      </c>
      <c r="M36" s="9">
        <f t="shared" ca="1" si="10"/>
        <v>0.75</v>
      </c>
      <c r="N36">
        <f t="shared" ca="1" si="11"/>
        <v>221</v>
      </c>
      <c r="V36" t="str">
        <f t="shared" ca="1" si="12"/>
        <v>insert into Games values ('Prod-011', 'Heroic Legacy', 'Adventure', 'Moondustries', 'Blind Raccoon Productions', 'PEGI-7', 54, '25 Hours', 'Collector', 140, 77, 0.45, 0.75, 20);</v>
      </c>
    </row>
    <row r="37" spans="1:22" x14ac:dyDescent="0.25">
      <c r="A37" s="3" t="s">
        <v>4350</v>
      </c>
      <c r="B37" s="1" t="str">
        <f t="shared" si="0"/>
        <v>Tactics and Wonder</v>
      </c>
      <c r="C37" t="str">
        <f t="shared" si="1"/>
        <v>Strategy</v>
      </c>
      <c r="D37" t="str">
        <f t="shared" ca="1" si="2"/>
        <v>Moondustries</v>
      </c>
      <c r="E37" t="str">
        <f t="shared" ca="1" si="3"/>
        <v>Fierce Studios</v>
      </c>
      <c r="F37" t="str">
        <f t="shared" ca="1" si="4"/>
        <v>PEGI-12</v>
      </c>
      <c r="G37" s="6">
        <f t="shared" ca="1" si="7"/>
        <v>90</v>
      </c>
      <c r="H37" t="str">
        <f t="shared" ca="1" si="8"/>
        <v>45 Hours</v>
      </c>
      <c r="I37" t="str">
        <f t="shared" ca="1" si="5"/>
        <v>Gold</v>
      </c>
      <c r="J37" s="7">
        <f ca="1">IF(I37 =$Y$14, r_uniform(20,60,-1), IF(I37 =$Y$15, r_uniform(40,80,-1),IF(I37 =$Y$16, r_uniform(60,120,-1),IF(I37 =$Y$17, r_uniform(100,300,-1)))))</f>
        <v>70</v>
      </c>
      <c r="K37" s="10">
        <f t="shared" ca="1" si="9"/>
        <v>45.5</v>
      </c>
      <c r="L37" s="9">
        <f t="shared" ca="1" si="6"/>
        <v>0.35</v>
      </c>
      <c r="M37" s="9">
        <f t="shared" ca="1" si="10"/>
        <v>0.1</v>
      </c>
      <c r="N37">
        <f t="shared" ca="1" si="11"/>
        <v>633</v>
      </c>
      <c r="V37" t="str">
        <f t="shared" ca="1" si="12"/>
        <v>insert into Games values ('Prod-012', 'Dark Sect', 'Adventure', 'Cliff Acoustics', 'Subdomain Game Studios', 'PEGI-3', 100, '17 Hours', 'Standard', 20, 16, 0.2, 0.75, 285);</v>
      </c>
    </row>
    <row r="38" spans="1:22" x14ac:dyDescent="0.25">
      <c r="A38" s="3" t="s">
        <v>4351</v>
      </c>
      <c r="B38" s="1" t="str">
        <f t="shared" si="0"/>
        <v>Phantomland</v>
      </c>
      <c r="C38" t="str">
        <f t="shared" si="1"/>
        <v>Strategy</v>
      </c>
      <c r="D38" t="str">
        <f t="shared" ca="1" si="2"/>
        <v>Heartpoint</v>
      </c>
      <c r="E38" t="str">
        <f t="shared" ca="1" si="3"/>
        <v>Thunderjam Interactive</v>
      </c>
      <c r="F38" t="str">
        <f t="shared" ca="1" si="4"/>
        <v>PEGI-7</v>
      </c>
      <c r="G38" s="6">
        <f t="shared" ca="1" si="7"/>
        <v>52</v>
      </c>
      <c r="H38" t="str">
        <f t="shared" ca="1" si="8"/>
        <v>51 Hours</v>
      </c>
      <c r="I38" t="str">
        <f t="shared" ca="1" si="5"/>
        <v>Standard</v>
      </c>
      <c r="J38" s="7">
        <f ca="1">IF(I38 =$Y$14, r_uniform(20,60,-1), IF(I38 =$Y$15, r_uniform(40,80,-1),IF(I38 =$Y$16, r_uniform(60,120,-1),IF(I38 =$Y$17, r_uniform(100,300,-1)))))</f>
        <v>60</v>
      </c>
      <c r="K38" s="10">
        <f t="shared" ca="1" si="9"/>
        <v>48</v>
      </c>
      <c r="L38" s="9">
        <f t="shared" ca="1" si="6"/>
        <v>0.2</v>
      </c>
      <c r="M38" s="9">
        <f t="shared" ca="1" si="10"/>
        <v>0.4</v>
      </c>
      <c r="N38">
        <f t="shared" ca="1" si="11"/>
        <v>387</v>
      </c>
      <c r="V38" t="str">
        <f t="shared" ca="1" si="12"/>
        <v>insert into Games values ('Prod-013', 'Monsters of Nightmares', 'Adventure', 'Fairyhive', 'Filthy Door Interactive', 'PEGI-16', 100, '75 Hours', 'Collector', 110, 60.5, 0.45, 0.1, 694);</v>
      </c>
    </row>
    <row r="39" spans="1:22" x14ac:dyDescent="0.25">
      <c r="A39" s="3" t="s">
        <v>4352</v>
      </c>
      <c r="B39" s="1" t="str">
        <f t="shared" si="0"/>
        <v>Siegefront</v>
      </c>
      <c r="C39" t="str">
        <f t="shared" si="1"/>
        <v>Strategy</v>
      </c>
      <c r="D39" t="str">
        <f t="shared" ca="1" si="2"/>
        <v>Cliff Acoustics</v>
      </c>
      <c r="E39" t="str">
        <f t="shared" ca="1" si="3"/>
        <v>Honest Door Entertainment</v>
      </c>
      <c r="F39" t="str">
        <f t="shared" ca="1" si="4"/>
        <v>PEGI-12</v>
      </c>
      <c r="G39" s="6">
        <f t="shared" ca="1" si="7"/>
        <v>65</v>
      </c>
      <c r="H39" t="str">
        <f t="shared" ca="1" si="8"/>
        <v>50 Hours</v>
      </c>
      <c r="I39" t="str">
        <f t="shared" ca="1" si="5"/>
        <v>Deluxe</v>
      </c>
      <c r="J39" s="7">
        <f ca="1">IF(I39 =$Y$14, r_uniform(20,60,-1), IF(I39 =$Y$15, r_uniform(40,80,-1),IF(I39 =$Y$16, r_uniform(60,120,-1),IF(I39 =$Y$17, r_uniform(100,300,-1)))))</f>
        <v>40</v>
      </c>
      <c r="K39" s="10">
        <f t="shared" ca="1" si="9"/>
        <v>28</v>
      </c>
      <c r="L39" s="9">
        <f t="shared" ca="1" si="6"/>
        <v>0.3</v>
      </c>
      <c r="M39" s="9">
        <f t="shared" ca="1" si="10"/>
        <v>0.4</v>
      </c>
      <c r="N39">
        <f t="shared" ca="1" si="11"/>
        <v>428</v>
      </c>
      <c r="V39" t="str">
        <f t="shared" ca="1" si="12"/>
        <v>insert into Games values ('Prod-014', 'Wizards of Sorrow', 'Adventure', 'Moondustries', 'Rare Spectre Arts', 'PEGI-12', 60, '51 Hours', 'Deluxe', 50, 35, 0.3, 0, 851);</v>
      </c>
    </row>
    <row r="40" spans="1:22" x14ac:dyDescent="0.25">
      <c r="A40" s="3" t="s">
        <v>4353</v>
      </c>
      <c r="B40" s="1" t="str">
        <f t="shared" si="0"/>
        <v>Ashcommand</v>
      </c>
      <c r="C40" t="str">
        <f t="shared" si="1"/>
        <v>Strategy</v>
      </c>
      <c r="D40" t="str">
        <f t="shared" ca="1" si="2"/>
        <v>Crypticorps</v>
      </c>
      <c r="E40" t="str">
        <f t="shared" ca="1" si="3"/>
        <v>Rare Spectre Arts</v>
      </c>
      <c r="F40" t="str">
        <f t="shared" ca="1" si="4"/>
        <v>PEGI-12</v>
      </c>
      <c r="G40" s="6">
        <f t="shared" ca="1" si="7"/>
        <v>56</v>
      </c>
      <c r="H40" t="str">
        <f t="shared" ca="1" si="8"/>
        <v>3 Hours</v>
      </c>
      <c r="I40" t="str">
        <f t="shared" ca="1" si="5"/>
        <v>Deluxe</v>
      </c>
      <c r="J40" s="7">
        <f ca="1">IF(I40 =$Y$14, r_uniform(20,60,-1), IF(I40 =$Y$15, r_uniform(40,80,-1),IF(I40 =$Y$16, r_uniform(60,120,-1),IF(I40 =$Y$17, r_uniform(100,300,-1)))))</f>
        <v>50</v>
      </c>
      <c r="K40" s="10">
        <f t="shared" ca="1" si="9"/>
        <v>35</v>
      </c>
      <c r="L40" s="9">
        <f t="shared" ca="1" si="6"/>
        <v>0.3</v>
      </c>
      <c r="M40" s="9">
        <f t="shared" ca="1" si="10"/>
        <v>0.1</v>
      </c>
      <c r="N40">
        <f t="shared" ca="1" si="11"/>
        <v>630</v>
      </c>
      <c r="V40" t="str">
        <f t="shared" ca="1" si="12"/>
        <v>insert into Games values ('Prod-015', 'Hand and Chronicles', 'Adventure', 'Lionshine', 'Winterpunch Game Studios', 'PEGI-7', 93, '12 Hours', 'Deluxe', 70, 49, 0.3, 0.75, 106);</v>
      </c>
    </row>
    <row r="41" spans="1:22" x14ac:dyDescent="0.25">
      <c r="A41" s="3" t="s">
        <v>4354</v>
      </c>
      <c r="B41" s="1" t="str">
        <f t="shared" si="0"/>
        <v>Netherheart</v>
      </c>
      <c r="C41" t="str">
        <f t="shared" si="1"/>
        <v>Strategy</v>
      </c>
      <c r="D41" t="str">
        <f t="shared" ca="1" si="2"/>
        <v>Surprisystems</v>
      </c>
      <c r="E41" t="str">
        <f t="shared" ca="1" si="3"/>
        <v>Numb Kitten Productions</v>
      </c>
      <c r="F41" t="str">
        <f t="shared" ca="1" si="4"/>
        <v>PEGI-16</v>
      </c>
      <c r="G41" s="6">
        <f t="shared" ca="1" si="7"/>
        <v>91</v>
      </c>
      <c r="H41" t="str">
        <f t="shared" ca="1" si="8"/>
        <v>69 Hours</v>
      </c>
      <c r="I41" t="str">
        <f t="shared" ca="1" si="5"/>
        <v>Gold</v>
      </c>
      <c r="J41" s="7">
        <f ca="1">IF(I41 =$Y$14, r_uniform(20,60,-1), IF(I41 =$Y$15, r_uniform(40,80,-1),IF(I41 =$Y$16, r_uniform(60,120,-1),IF(I41 =$Y$17, r_uniform(100,300,-1)))))</f>
        <v>80</v>
      </c>
      <c r="K41" s="10">
        <f t="shared" ca="1" si="9"/>
        <v>52</v>
      </c>
      <c r="L41" s="9">
        <f t="shared" ca="1" si="6"/>
        <v>0.35</v>
      </c>
      <c r="M41" s="9">
        <f t="shared" ca="1" si="10"/>
        <v>0.1</v>
      </c>
      <c r="N41">
        <f t="shared" ca="1" si="11"/>
        <v>792</v>
      </c>
      <c r="V41" t="str">
        <f t="shared" ca="1" si="12"/>
        <v>insert into Games values ('Prod-016', 'Heaven and Alchemy', 'Adventure', 'Lionshine', 'Moonware Interactive', 'PEGI-12', 76, '72 Hours', 'Collector', 260, 143, 0.45, 0, 856);</v>
      </c>
    </row>
    <row r="42" spans="1:22" x14ac:dyDescent="0.25">
      <c r="A42" s="3"/>
      <c r="B42" s="1"/>
      <c r="G42" s="6"/>
      <c r="J42" s="7"/>
      <c r="K42" s="10"/>
      <c r="L42" s="9"/>
      <c r="M42" s="9"/>
      <c r="V42" t="str">
        <f t="shared" ca="1" si="12"/>
        <v>insert into Games values ('Prod-017', 'Madscape', 'Adventure', 'Alphacom', 'Winterpunch Game Studios', 'PEGI-12', 51, '34 Hours', 'Deluxe', 80, 56, 0.3, 0.1, 655);</v>
      </c>
    </row>
    <row r="43" spans="1:22" x14ac:dyDescent="0.25">
      <c r="A43" s="3"/>
      <c r="B43" s="1"/>
      <c r="G43" s="6"/>
      <c r="J43" s="7"/>
      <c r="K43" s="10"/>
      <c r="L43" s="9"/>
      <c r="M43" s="9"/>
      <c r="V43" t="str">
        <f t="shared" ca="1" si="12"/>
        <v>insert into Games values ('Prod-018', 'Bloodscape', 'Adventure', 'Surprisystems', 'Moonware Interactive', 'PEGI-16', 79, '31 Hours', 'Gold', 60, 39, 0.35, 0.75, 85);</v>
      </c>
    </row>
    <row r="44" spans="1:22" x14ac:dyDescent="0.25">
      <c r="A44" s="3"/>
      <c r="B44" s="1"/>
      <c r="G44" s="6"/>
      <c r="J44" s="7"/>
      <c r="K44" s="10"/>
      <c r="L44" s="9"/>
      <c r="M44" s="9"/>
      <c r="V44" t="str">
        <f t="shared" ca="1" si="12"/>
        <v>insert into Games values ('Prod-019', 'Chronorite', 'Adventure', 'Lionshine', 'Dapper Bull Media', 'PEGI-7', 96, '20 Hours', 'Standard', 20, 16, 0.2, 0.4, 320);</v>
      </c>
    </row>
    <row r="45" spans="1:22" x14ac:dyDescent="0.25">
      <c r="B45" s="1"/>
      <c r="G45" s="6"/>
      <c r="J45" s="7"/>
      <c r="K45" s="10"/>
      <c r="L45" s="9"/>
      <c r="M45" s="9"/>
      <c r="V45" t="str">
        <f t="shared" ca="1" si="12"/>
        <v>insert into Games values ('Prod-020', 'Emberville', 'Adventure', 'Alphacom', 'Winterpunch Game Studios', 'PEGI-7', 83, '60 Hours', 'Gold', 80, 52, 0.35, 0.75, 134);</v>
      </c>
    </row>
    <row r="46" spans="1:22" x14ac:dyDescent="0.25">
      <c r="V46" t="str">
        <f t="shared" ca="1" si="12"/>
        <v>insert into Games values ('Prod-021', 'Infernal Faction', 'RPG', 'Alphacom', 'Moonware Interactive', 'PEGI-18', 92, '19 Hours', 'Collector', 220, 121, 0.45, 0.75, 125);</v>
      </c>
    </row>
    <row r="47" spans="1:22" x14ac:dyDescent="0.25">
      <c r="V47" t="str">
        <f t="shared" ca="1" si="12"/>
        <v>insert into Games values ('Prod-022', 'Eternal Harvest', 'RPG', 'Surprisystems', 'Thunderjam Interactive', 'PEGI-18', 55, '50 Hours', 'Standard', 60, 48, 0.2, 0.75, 140);</v>
      </c>
    </row>
    <row r="48" spans="1:22" x14ac:dyDescent="0.25">
      <c r="V48" t="str">
        <f t="shared" ca="1" si="12"/>
        <v>insert into Games values ('Prod-023', 'Magic of Mythology', 'RPG', 'Lionshine', 'Pretty Mage Arts', 'PEGI-16', 81, '26 Hours', 'Collector', 220, 121, 0.45, 0.4, 328);</v>
      </c>
    </row>
    <row r="49" spans="22:22" x14ac:dyDescent="0.25">
      <c r="V49" t="str">
        <f t="shared" ca="1" si="12"/>
        <v>insert into Games values ('Prod-024', 'Spirits of Heritage', 'RPG', 'Cliff Acoustics', 'Thunderstorm Studios', 'PEGI-12', 52, '62 Hours', 'Deluxe', 60, 42, 0.3, 0.75, 101);</v>
      </c>
    </row>
    <row r="50" spans="22:22" x14ac:dyDescent="0.25">
      <c r="V50" t="str">
        <f t="shared" ca="1" si="12"/>
        <v>insert into Games values ('Prod-025', 'Enemy and Demons', 'RPG', 'Alphacom', 'Blind Raccoon Productions', 'PEGI-3', 70, '34 Hours', 'Deluxe', 70, 49, 0.3, 0.75, 24);</v>
      </c>
    </row>
    <row r="51" spans="22:22" x14ac:dyDescent="0.25">
      <c r="V51" t="str">
        <f t="shared" ca="1" si="12"/>
        <v>insert into Games values ('Prod-026', 'Honor and Earth', 'RPG', 'Moondustries', 'Winterpunch Game Studios', 'PEGI-18', 97, '52 Hours', 'Standard', 30, 24, 0.2, 0.75, 11);</v>
      </c>
    </row>
    <row r="52" spans="22:22" x14ac:dyDescent="0.25">
      <c r="V52" t="str">
        <f t="shared" ca="1" si="12"/>
        <v>insert into Games values ('Prod-027', 'Shardforce', 'RPG', 'Heartpoint', 'Dapper Bull Media', 'PEGI-16', 75, '12 Hours', 'Deluxe', 70, 49, 0.3, 0.4, 365);</v>
      </c>
    </row>
    <row r="53" spans="22:22" x14ac:dyDescent="0.25">
      <c r="V53" t="str">
        <f t="shared" ca="1" si="12"/>
        <v>insert into Games values ('Prod-028', 'Warhunt', 'RPG', 'Cliff Acoustics', 'Dumb Luck Entertainment', 'PEGI-18', 51, '66 Hours', 'Gold', 80, 52, 0.35, 0.1, 610);</v>
      </c>
    </row>
    <row r="54" spans="22:22" x14ac:dyDescent="0.25">
      <c r="V54" t="str">
        <f t="shared" ca="1" si="12"/>
        <v>insert into Games values ('Prod-029', 'Magechild', 'RPG', 'Cliff Acoustics', 'Honest Door Entertainment', 'PEGI-18', 90, '65 Hours', 'Gold', 100, 65, 0.35, 0.1, 661);</v>
      </c>
    </row>
    <row r="55" spans="22:22" x14ac:dyDescent="0.25">
      <c r="V55" t="str">
        <f t="shared" ca="1" si="12"/>
        <v>insert into Games values ('Prod-030', 'Arcanepath', 'RPG', 'Alphacom', 'Pretty Mage Arts', 'PEGI-12', 72, '65 Hours', 'Collector', 140, 77, 0.45, 0.75, 19);</v>
      </c>
    </row>
    <row r="56" spans="22:22" x14ac:dyDescent="0.25">
      <c r="V56" t="str">
        <f t="shared" ca="1" si="12"/>
        <v>insert into Games values ('Prod-031', 'Android Dynasty', 'Strategy', 'Surprisystems', 'Scary Lizard Productions', 'PEGI-3', 81, '77 Hours', 'Gold', 90, 58.5, 0.35, 0.4, 468);</v>
      </c>
    </row>
    <row r="57" spans="22:22" x14ac:dyDescent="0.25">
      <c r="V57" t="str">
        <f t="shared" ca="1" si="12"/>
        <v>insert into Games values ('Prod-032', 'Blood Cataclysm', 'Strategy', 'Heartpoint', 'Thunderstorm Studios', 'PEGI-16', 52, '46 Hours', 'Collector', 300, 165, 0.45, 0.75, 240);</v>
      </c>
    </row>
    <row r="58" spans="22:22" x14ac:dyDescent="0.25">
      <c r="V58" t="str">
        <f t="shared" ca="1" si="12"/>
        <v>insert into Games values ('Prod-033', 'Warlords of Turmoil', 'Strategy', 'Heartpoint', 'Honest Door Entertainment', 'PEGI-7', 50, '14 Hours', 'Gold', 120, 78, 0.35, 0.75, 116);</v>
      </c>
    </row>
    <row r="59" spans="22:22" x14ac:dyDescent="0.25">
      <c r="V59" t="str">
        <f t="shared" ca="1" si="12"/>
        <v>insert into Games values ('Prod-034', 'Titans of Pain', 'Strategy', 'Cliff Acoustics', 'Scary Lizard Productions', 'PEGI-12', 77, '67 Hours', 'Collector', 100, 55, 0.45, 0, 829);</v>
      </c>
    </row>
    <row r="60" spans="22:22" x14ac:dyDescent="0.25">
      <c r="V60" t="str">
        <f t="shared" ca="1" si="12"/>
        <v>insert into Games values ('Prod-035', 'Legions and Warlords', 'Strategy', 'Moondustries', 'Winterpunch Game Studios', 'PEGI-12', 70, '41 Hours', 'Standard', 50, 40, 0.2, 0.75, 221);</v>
      </c>
    </row>
    <row r="61" spans="22:22" x14ac:dyDescent="0.25">
      <c r="V61" t="str">
        <f t="shared" ca="1" si="12"/>
        <v>insert into Games values ('Prod-036', 'Tactics and Wonder', 'Strategy', 'Moondustries', 'Fierce Studios', 'PEGI-12', 90, '45 Hours', 'Gold', 70, 45.5, 0.35, 0.1, 633);</v>
      </c>
    </row>
    <row r="62" spans="22:22" x14ac:dyDescent="0.25">
      <c r="V62" t="str">
        <f t="shared" ca="1" si="12"/>
        <v>insert into Games values ('Prod-037', 'Phantomland', 'Strategy', 'Heartpoint', 'Thunderjam Interactive', 'PEGI-7', 52, '51 Hours', 'Standard', 60, 48, 0.2, 0.4, 387);</v>
      </c>
    </row>
    <row r="63" spans="22:22" x14ac:dyDescent="0.25">
      <c r="V63" t="str">
        <f t="shared" ca="1" si="12"/>
        <v>insert into Games values ('Prod-038', 'Siegefront', 'Strategy', 'Cliff Acoustics', 'Honest Door Entertainment', 'PEGI-12', 65, '50 Hours', 'Deluxe', 40, 28, 0.3, 0.4, 428);</v>
      </c>
    </row>
    <row r="64" spans="22:22" x14ac:dyDescent="0.25">
      <c r="V64" t="str">
        <f t="shared" ca="1" si="12"/>
        <v>insert into Games values ('Prod-039', 'Ashcommand', 'Strategy', 'Crypticorps', 'Rare Spectre Arts', 'PEGI-12', 56, '3 Hours', 'Deluxe', 50, 35, 0.3, 0.1, 630);</v>
      </c>
    </row>
    <row r="65" spans="22:22" x14ac:dyDescent="0.25">
      <c r="V65" t="str">
        <f t="shared" ca="1" si="12"/>
        <v>insert into Games values ('Prod-040', 'Netherheart', 'Strategy', 'Surprisystems', 'Numb Kitten Productions', 'PEGI-16', 91, '69 Hours', 'Gold', 80, 52, 0.35, 0.1, 792);</v>
      </c>
    </row>
  </sheetData>
  <phoneticPr fontId="2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B1FD-8483-434D-9A54-E9D49568C545}">
  <dimension ref="A1:H15"/>
  <sheetViews>
    <sheetView workbookViewId="0">
      <selection activeCell="E2" sqref="E2"/>
    </sheetView>
  </sheetViews>
  <sheetFormatPr defaultRowHeight="13.2" x14ac:dyDescent="0.25"/>
  <cols>
    <col min="1" max="1" width="14.109375" bestFit="1" customWidth="1"/>
    <col min="2" max="2" width="12" bestFit="1" customWidth="1"/>
    <col min="3" max="3" width="13.77734375" bestFit="1" customWidth="1"/>
    <col min="4" max="4" width="13.88671875" bestFit="1" customWidth="1"/>
    <col min="5" max="5" width="16.109375" bestFit="1" customWidth="1"/>
    <col min="7" max="7" width="16.109375" bestFit="1" customWidth="1"/>
  </cols>
  <sheetData>
    <row r="1" spans="1:8" x14ac:dyDescent="0.25">
      <c r="A1" t="s">
        <v>4355</v>
      </c>
      <c r="B1" t="s">
        <v>4356</v>
      </c>
      <c r="C1" t="s">
        <v>4357</v>
      </c>
      <c r="D1" t="s">
        <v>4358</v>
      </c>
      <c r="E1" s="1" t="s">
        <v>4359</v>
      </c>
      <c r="G1" t="s">
        <v>4355</v>
      </c>
      <c r="H1" t="s">
        <v>5399</v>
      </c>
    </row>
    <row r="2" spans="1:8" x14ac:dyDescent="0.25">
      <c r="A2" t="s">
        <v>4232</v>
      </c>
      <c r="B2" s="9">
        <f ca="1">IF(C2&lt;3000,0.1,IF(AND(C2&gt;=3000,C2&lt;6000),0.15,0.3))</f>
        <v>0.3</v>
      </c>
      <c r="C2">
        <f ca="1">r_integer(1000,10000)</f>
        <v>6490</v>
      </c>
      <c r="D2">
        <f ca="1">r_integer(50,150)</f>
        <v>105</v>
      </c>
      <c r="E2" t="str">
        <f ca="1">IF(C2&lt;3000,"HIGH",IF(AND(C2&gt;=3000,C2&lt;6000),"MEDIUM","LOW"))</f>
        <v>LOW</v>
      </c>
      <c r="G2" t="s">
        <v>4356</v>
      </c>
      <c r="H2" t="s">
        <v>5400</v>
      </c>
    </row>
    <row r="3" spans="1:8" x14ac:dyDescent="0.25">
      <c r="A3" t="s">
        <v>4233</v>
      </c>
      <c r="B3" s="9">
        <f t="shared" ref="B3:B10" ca="1" si="0">IF(C3&lt;3000,0.1,IF(AND(C3&gt;=3000,C3&lt;6000),0.15,0.3))</f>
        <v>0.1</v>
      </c>
      <c r="C3">
        <f t="shared" ref="C3:C10" ca="1" si="1">r_integer(1000,10000)</f>
        <v>2658</v>
      </c>
      <c r="D3">
        <f t="shared" ref="D3:D10" ca="1" si="2">r_integer(50,150)</f>
        <v>134</v>
      </c>
      <c r="E3" t="str">
        <f t="shared" ref="E3:E10" ca="1" si="3">IF(C3&lt;3000,"HIGH",IF(AND(C3&gt;=3000,C3&lt;6000),"MEDIUM","HIGH"))</f>
        <v>HIGH</v>
      </c>
      <c r="G3" t="s">
        <v>4357</v>
      </c>
      <c r="H3" t="s">
        <v>5400</v>
      </c>
    </row>
    <row r="4" spans="1:8" x14ac:dyDescent="0.25">
      <c r="A4" t="s">
        <v>4234</v>
      </c>
      <c r="B4" s="9">
        <f t="shared" ca="1" si="0"/>
        <v>0.15</v>
      </c>
      <c r="C4">
        <f t="shared" ca="1" si="1"/>
        <v>3437</v>
      </c>
      <c r="D4">
        <f t="shared" ca="1" si="2"/>
        <v>103</v>
      </c>
      <c r="E4" t="str">
        <f t="shared" ca="1" si="3"/>
        <v>MEDIUM</v>
      </c>
      <c r="G4" t="s">
        <v>4358</v>
      </c>
      <c r="H4" t="s">
        <v>5400</v>
      </c>
    </row>
    <row r="5" spans="1:8" x14ac:dyDescent="0.25">
      <c r="A5" t="s">
        <v>4235</v>
      </c>
      <c r="B5" s="9">
        <f t="shared" ca="1" si="0"/>
        <v>0.3</v>
      </c>
      <c r="C5">
        <f t="shared" ca="1" si="1"/>
        <v>6925</v>
      </c>
      <c r="D5">
        <f t="shared" ca="1" si="2"/>
        <v>93</v>
      </c>
      <c r="E5" t="str">
        <f t="shared" ca="1" si="3"/>
        <v>HIGH</v>
      </c>
      <c r="G5" s="1" t="s">
        <v>4359</v>
      </c>
      <c r="H5" t="s">
        <v>5399</v>
      </c>
    </row>
    <row r="6" spans="1:8" x14ac:dyDescent="0.25">
      <c r="A6" t="s">
        <v>4236</v>
      </c>
      <c r="B6" s="9">
        <f t="shared" ca="1" si="0"/>
        <v>0.15</v>
      </c>
      <c r="C6">
        <f t="shared" ca="1" si="1"/>
        <v>5621</v>
      </c>
      <c r="D6">
        <f t="shared" ca="1" si="2"/>
        <v>132</v>
      </c>
      <c r="E6" t="str">
        <f t="shared" ca="1" si="3"/>
        <v>MEDIUM</v>
      </c>
    </row>
    <row r="7" spans="1:8" x14ac:dyDescent="0.25">
      <c r="A7" t="s">
        <v>4237</v>
      </c>
      <c r="B7" s="9">
        <f t="shared" ca="1" si="0"/>
        <v>0.1</v>
      </c>
      <c r="C7">
        <f t="shared" ca="1" si="1"/>
        <v>1166</v>
      </c>
      <c r="D7">
        <f t="shared" ca="1" si="2"/>
        <v>128</v>
      </c>
      <c r="E7" t="str">
        <f t="shared" ca="1" si="3"/>
        <v>HIGH</v>
      </c>
      <c r="G7" t="str">
        <f t="shared" ref="G7:G15" ca="1" si="4">insertinto(A2:E2,$G$1:$H$5,"Publishers")</f>
        <v>insert into Publishers values ('Diamond Media', 0.3, 6490, 105, 'LOW');</v>
      </c>
    </row>
    <row r="8" spans="1:8" x14ac:dyDescent="0.25">
      <c r="A8" t="s">
        <v>4238</v>
      </c>
      <c r="B8" s="9">
        <f t="shared" ca="1" si="0"/>
        <v>0.3</v>
      </c>
      <c r="C8">
        <f t="shared" ca="1" si="1"/>
        <v>7590</v>
      </c>
      <c r="D8">
        <f t="shared" ca="1" si="2"/>
        <v>102</v>
      </c>
      <c r="E8" t="str">
        <f t="shared" ca="1" si="3"/>
        <v>HIGH</v>
      </c>
      <c r="G8" t="str">
        <f t="shared" ca="1" si="4"/>
        <v>insert into Publishers values ('Cliff Acoustics', 0.1, 2658, 134, 'HIGH');</v>
      </c>
    </row>
    <row r="9" spans="1:8" x14ac:dyDescent="0.25">
      <c r="A9" t="s">
        <v>4239</v>
      </c>
      <c r="B9" s="9">
        <f t="shared" ca="1" si="0"/>
        <v>0.3</v>
      </c>
      <c r="C9">
        <f t="shared" ca="1" si="1"/>
        <v>7701</v>
      </c>
      <c r="D9">
        <f t="shared" ca="1" si="2"/>
        <v>58</v>
      </c>
      <c r="E9" t="str">
        <f t="shared" ca="1" si="3"/>
        <v>HIGH</v>
      </c>
      <c r="G9" t="str">
        <f t="shared" ca="1" si="4"/>
        <v>insert into Publishers values ('Alphacom', 0.15, 3437, 103, 'MEDIUM');</v>
      </c>
    </row>
    <row r="10" spans="1:8" x14ac:dyDescent="0.25">
      <c r="A10" t="s">
        <v>4240</v>
      </c>
      <c r="B10" s="9">
        <f t="shared" ca="1" si="0"/>
        <v>0.1</v>
      </c>
      <c r="C10">
        <f t="shared" ca="1" si="1"/>
        <v>2888</v>
      </c>
      <c r="D10">
        <f t="shared" ca="1" si="2"/>
        <v>89</v>
      </c>
      <c r="E10" t="str">
        <f t="shared" ca="1" si="3"/>
        <v>HIGH</v>
      </c>
      <c r="G10" t="str">
        <f t="shared" ca="1" si="4"/>
        <v>insert into Publishers values ('Crypticorps', 0.3, 6925, 93, 'HIGH');</v>
      </c>
    </row>
    <row r="11" spans="1:8" x14ac:dyDescent="0.25">
      <c r="G11" t="str">
        <f t="shared" ca="1" si="4"/>
        <v>insert into Publishers values ('Moondustries', 0.15, 5621, 132, 'MEDIUM');</v>
      </c>
    </row>
    <row r="12" spans="1:8" x14ac:dyDescent="0.25">
      <c r="G12" t="str">
        <f t="shared" ca="1" si="4"/>
        <v>insert into Publishers values ('Surprisystems', 0.1, 1166, 128, 'HIGH');</v>
      </c>
    </row>
    <row r="13" spans="1:8" x14ac:dyDescent="0.25">
      <c r="G13" t="str">
        <f t="shared" ca="1" si="4"/>
        <v>insert into Publishers values ('Lionshine', 0.3, 7590, 102, 'HIGH');</v>
      </c>
    </row>
    <row r="14" spans="1:8" x14ac:dyDescent="0.25">
      <c r="G14" t="str">
        <f t="shared" ca="1" si="4"/>
        <v>insert into Publishers values ('Fairyhive', 0.3, 7701, 58, 'HIGH');</v>
      </c>
    </row>
    <row r="15" spans="1:8" x14ac:dyDescent="0.25">
      <c r="G15" t="str">
        <f t="shared" ca="1" si="4"/>
        <v>insert into Publishers values ('Heartpoint', 0.1, 2888, 89, 'HIGH');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9C2B7-0310-4D8F-B916-80ACE7F6CBA8}">
  <dimension ref="A1:L108"/>
  <sheetViews>
    <sheetView workbookViewId="0">
      <selection activeCell="G4" sqref="G4"/>
    </sheetView>
  </sheetViews>
  <sheetFormatPr defaultRowHeight="13.2" x14ac:dyDescent="0.25"/>
  <cols>
    <col min="2" max="2" width="17.6640625" bestFit="1" customWidth="1"/>
    <col min="4" max="4" width="10.109375" customWidth="1"/>
    <col min="6" max="6" width="10.88671875" bestFit="1" customWidth="1"/>
    <col min="9" max="9" width="10.44140625" bestFit="1" customWidth="1"/>
    <col min="11" max="11" width="10.88671875" bestFit="1" customWidth="1"/>
  </cols>
  <sheetData>
    <row r="1" spans="1:12" x14ac:dyDescent="0.25">
      <c r="A1" t="s">
        <v>4360</v>
      </c>
      <c r="B1" t="s">
        <v>4361</v>
      </c>
      <c r="C1" t="s">
        <v>4362</v>
      </c>
      <c r="D1" t="s">
        <v>4363</v>
      </c>
      <c r="E1" t="s">
        <v>4364</v>
      </c>
      <c r="F1" t="s">
        <v>4365</v>
      </c>
      <c r="I1" s="1" t="s">
        <v>4916</v>
      </c>
      <c r="K1" t="s">
        <v>4360</v>
      </c>
      <c r="L1" t="s">
        <v>5399</v>
      </c>
    </row>
    <row r="2" spans="1:12" x14ac:dyDescent="0.25">
      <c r="A2" s="1" t="s">
        <v>4469</v>
      </c>
      <c r="B2" t="str">
        <f ca="1">r_fname_f()&amp;" "&amp;r_lname()</f>
        <v>Myrl Winkler</v>
      </c>
      <c r="C2" s="1" t="str">
        <f ca="1">r_choice(Branches!$A$2:$A$21)</f>
        <v>br-018</v>
      </c>
      <c r="D2" t="str">
        <f t="shared" ref="D2:D33" ca="1" si="0">r_choice($I$1:$I$2)</f>
        <v>ACTIVE</v>
      </c>
      <c r="E2" s="13">
        <f ca="1">r_uniform(600,800,-1)</f>
        <v>660</v>
      </c>
      <c r="F2" s="9">
        <f ca="1">r_uniform(0.1,0.3,2)</f>
        <v>0.14000000000000001</v>
      </c>
      <c r="I2" s="1" t="s">
        <v>5348</v>
      </c>
      <c r="K2" t="s">
        <v>4361</v>
      </c>
      <c r="L2" t="s">
        <v>5399</v>
      </c>
    </row>
    <row r="3" spans="1:12" x14ac:dyDescent="0.25">
      <c r="A3" s="1" t="s">
        <v>4470</v>
      </c>
      <c r="B3" t="str">
        <f ca="1">r_fname_m()&amp;" "&amp;r_lname()</f>
        <v>Freddie Demore</v>
      </c>
      <c r="C3" s="1" t="str">
        <f ca="1">r_choice(Branches!$A$2:$A$21)</f>
        <v>br-012</v>
      </c>
      <c r="D3" t="str">
        <f t="shared" ca="1" si="0"/>
        <v>ON_LEAVE</v>
      </c>
      <c r="E3" s="13">
        <f ca="1">r_uniform(600,800,-1)</f>
        <v>690</v>
      </c>
      <c r="F3" s="9">
        <f ca="1">r_uniform(0.1,0.3,2)</f>
        <v>0.28000000000000003</v>
      </c>
      <c r="K3" t="s">
        <v>4362</v>
      </c>
      <c r="L3" t="s">
        <v>5399</v>
      </c>
    </row>
    <row r="4" spans="1:12" x14ac:dyDescent="0.25">
      <c r="A4" s="1" t="s">
        <v>4471</v>
      </c>
      <c r="B4" t="str">
        <f ca="1">r_fname_f()&amp;" "&amp;r_lname()</f>
        <v>Ardell Sweeney</v>
      </c>
      <c r="C4" s="1" t="str">
        <f ca="1">r_choice(Branches!$A$2:$A$21)</f>
        <v>br-018</v>
      </c>
      <c r="D4" t="str">
        <f t="shared" ca="1" si="0"/>
        <v>ACTIVE</v>
      </c>
      <c r="E4" s="13">
        <f ca="1">r_uniform(600,800,-1)</f>
        <v>620</v>
      </c>
      <c r="F4" s="9">
        <f ca="1">r_uniform(0.1,0.3,2)</f>
        <v>0.16</v>
      </c>
      <c r="K4" t="s">
        <v>4363</v>
      </c>
      <c r="L4" t="s">
        <v>5399</v>
      </c>
    </row>
    <row r="5" spans="1:12" x14ac:dyDescent="0.25">
      <c r="A5" s="1" t="s">
        <v>4472</v>
      </c>
      <c r="B5" t="str">
        <f ca="1">r_fname_f()&amp;" "&amp;r_lname()</f>
        <v>Malka Broussard</v>
      </c>
      <c r="C5" s="1" t="str">
        <f ca="1">r_choice(Branches!$A$2:$A$21)</f>
        <v>br-003</v>
      </c>
      <c r="D5" t="str">
        <f t="shared" ca="1" si="0"/>
        <v>ACTIVE</v>
      </c>
      <c r="E5" s="13">
        <f ca="1">r_uniform(600,800,-1)</f>
        <v>800</v>
      </c>
      <c r="F5" s="9">
        <f ca="1">r_uniform(0.1,0.3,2)</f>
        <v>0.3</v>
      </c>
      <c r="K5" t="s">
        <v>4364</v>
      </c>
      <c r="L5" t="s">
        <v>5400</v>
      </c>
    </row>
    <row r="6" spans="1:12" x14ac:dyDescent="0.25">
      <c r="A6" s="1" t="s">
        <v>4473</v>
      </c>
      <c r="B6" t="str">
        <f ca="1">r_fname_m()&amp;" "&amp;r_lname()</f>
        <v>Ludwig Sands</v>
      </c>
      <c r="C6" s="1" t="str">
        <f ca="1">r_choice(Branches!$A$2:$A$21)</f>
        <v>br-013</v>
      </c>
      <c r="D6" t="str">
        <f t="shared" ca="1" si="0"/>
        <v>ON_LEAVE</v>
      </c>
      <c r="E6" s="13">
        <f ca="1">r_uniform(600,800,-1)</f>
        <v>670</v>
      </c>
      <c r="F6" s="9">
        <f ca="1">r_uniform(0.1,0.3,2)</f>
        <v>0.28000000000000003</v>
      </c>
      <c r="K6" t="s">
        <v>4365</v>
      </c>
      <c r="L6" t="s">
        <v>5400</v>
      </c>
    </row>
    <row r="7" spans="1:12" x14ac:dyDescent="0.25">
      <c r="A7" s="1" t="s">
        <v>4474</v>
      </c>
      <c r="B7" t="str">
        <f ca="1">r_fname_m()&amp;" "&amp;r_lname()</f>
        <v>Minh Grove</v>
      </c>
      <c r="C7" s="1" t="str">
        <f ca="1">r_choice(Branches!$A$2:$A$21)</f>
        <v>br-003</v>
      </c>
      <c r="D7" t="str">
        <f t="shared" ca="1" si="0"/>
        <v>ACTIVE</v>
      </c>
      <c r="E7" s="13">
        <f ca="1">r_uniform(600,800,-1)</f>
        <v>670</v>
      </c>
      <c r="F7" s="9">
        <f ca="1">r_uniform(0.1,0.3,2)</f>
        <v>0.26</v>
      </c>
    </row>
    <row r="8" spans="1:12" x14ac:dyDescent="0.25">
      <c r="A8" s="1" t="s">
        <v>4475</v>
      </c>
      <c r="B8" t="str">
        <f ca="1">r_fname_m()&amp;" "&amp;r_lname()</f>
        <v>Eddie Hatcher</v>
      </c>
      <c r="C8" s="1" t="str">
        <f ca="1">r_choice(Branches!$A$2:$A$21)</f>
        <v>br-017</v>
      </c>
      <c r="D8" t="str">
        <f t="shared" ca="1" si="0"/>
        <v>ON_LEAVE</v>
      </c>
      <c r="E8" s="13">
        <f ca="1">r_uniform(600,800,-1)</f>
        <v>680</v>
      </c>
      <c r="F8" s="9">
        <f ca="1">r_uniform(0.1,0.3,2)</f>
        <v>0.23</v>
      </c>
      <c r="I8" t="str">
        <f t="shared" ref="I8:I39" si="1">insertinto(A1:F1,$K$1:$L$6,"Employees")</f>
        <v>insert into Employees values ('Empl_id', 'Empl_name', 'Branch_id', 'Status', Base_sal, Commission);</v>
      </c>
    </row>
    <row r="9" spans="1:12" x14ac:dyDescent="0.25">
      <c r="A9" s="1" t="s">
        <v>4476</v>
      </c>
      <c r="B9" t="str">
        <f ca="1">r_fname_m()&amp;" "&amp;r_lname()</f>
        <v>Graham Larsen</v>
      </c>
      <c r="C9" s="1" t="str">
        <f ca="1">r_choice(Branches!$A$2:$A$21)</f>
        <v>br-017</v>
      </c>
      <c r="D9" t="str">
        <f t="shared" ca="1" si="0"/>
        <v>ACTIVE</v>
      </c>
      <c r="E9" s="13">
        <f ca="1">r_uniform(600,800,-1)</f>
        <v>700</v>
      </c>
      <c r="F9" s="9">
        <f ca="1">r_uniform(0.1,0.3,2)</f>
        <v>0.26</v>
      </c>
      <c r="I9" t="str">
        <f t="shared" ca="1" si="1"/>
        <v>insert into Employees values ('empl_001', 'Myrl Winkler', 'br-018', 'ACTIVE', 660, 0.14);</v>
      </c>
    </row>
    <row r="10" spans="1:12" x14ac:dyDescent="0.25">
      <c r="A10" s="1" t="s">
        <v>4477</v>
      </c>
      <c r="B10" t="str">
        <f ca="1">r_fname_m()&amp;" "&amp;r_lname()</f>
        <v>Kieth Kraft</v>
      </c>
      <c r="C10" s="1" t="str">
        <f ca="1">r_choice(Branches!$A$2:$A$21)</f>
        <v>br-007</v>
      </c>
      <c r="D10" t="str">
        <f t="shared" ca="1" si="0"/>
        <v>ON_LEAVE</v>
      </c>
      <c r="E10" s="13">
        <f ca="1">r_uniform(600,800,-1)</f>
        <v>600</v>
      </c>
      <c r="F10" s="9">
        <f ca="1">r_uniform(0.1,0.3,2)</f>
        <v>0.24</v>
      </c>
      <c r="I10" t="str">
        <f t="shared" ca="1" si="1"/>
        <v>insert into Employees values ('empl_002', 'Freddie Demore', 'br-012', 'ON_LEAVE', 690, 0.28);</v>
      </c>
    </row>
    <row r="11" spans="1:12" x14ac:dyDescent="0.25">
      <c r="A11" s="1" t="s">
        <v>4478</v>
      </c>
      <c r="B11" t="str">
        <f ca="1">r_fname_f()&amp;" "&amp;r_lname()</f>
        <v>Theresia Zuniga</v>
      </c>
      <c r="C11" s="1" t="str">
        <f ca="1">r_choice(Branches!$A$2:$A$21)</f>
        <v>br-006</v>
      </c>
      <c r="D11" t="str">
        <f t="shared" ca="1" si="0"/>
        <v>ON_LEAVE</v>
      </c>
      <c r="E11" s="13">
        <f ca="1">r_uniform(600,800,-1)</f>
        <v>700</v>
      </c>
      <c r="F11" s="9">
        <f ca="1">r_uniform(0.1,0.3,2)</f>
        <v>0.28999999999999998</v>
      </c>
      <c r="I11" t="str">
        <f t="shared" ca="1" si="1"/>
        <v>insert into Employees values ('empl_003', 'Ardell Sweeney', 'br-018', 'ACTIVE', 620, 0.16);</v>
      </c>
    </row>
    <row r="12" spans="1:12" x14ac:dyDescent="0.25">
      <c r="A12" s="1" t="s">
        <v>4479</v>
      </c>
      <c r="B12" t="str">
        <f ca="1">r_fname_f()&amp;" "&amp;r_lname()</f>
        <v>Alline Bunch</v>
      </c>
      <c r="C12" s="1" t="str">
        <f ca="1">r_choice(Branches!$A$2:$A$21)</f>
        <v>br-011</v>
      </c>
      <c r="D12" t="str">
        <f t="shared" ca="1" si="0"/>
        <v>ACTIVE</v>
      </c>
      <c r="E12" s="13">
        <f ca="1">r_uniform(600,800,-1)</f>
        <v>760</v>
      </c>
      <c r="F12" s="9">
        <f ca="1">r_uniform(0.1,0.3,2)</f>
        <v>0.19</v>
      </c>
      <c r="I12" t="str">
        <f t="shared" ca="1" si="1"/>
        <v>insert into Employees values ('empl_004', 'Malka Broussard', 'br-003', 'ACTIVE', 800, 0.3);</v>
      </c>
    </row>
    <row r="13" spans="1:12" x14ac:dyDescent="0.25">
      <c r="A13" s="1" t="s">
        <v>4480</v>
      </c>
      <c r="B13" t="str">
        <f ca="1">r_fname_m()&amp;" "&amp;r_lname()</f>
        <v>Percival Bray</v>
      </c>
      <c r="C13" s="1" t="str">
        <f ca="1">r_choice(Branches!$A$2:$A$21)</f>
        <v>br-009</v>
      </c>
      <c r="D13" t="str">
        <f t="shared" ca="1" si="0"/>
        <v>ACTIVE</v>
      </c>
      <c r="E13" s="13">
        <f ca="1">r_uniform(600,800,-1)</f>
        <v>750</v>
      </c>
      <c r="F13" s="9">
        <f ca="1">r_uniform(0.1,0.3,2)</f>
        <v>0.11</v>
      </c>
      <c r="I13" t="str">
        <f t="shared" ca="1" si="1"/>
        <v>insert into Employees values ('empl_005', 'Ludwig Sands', 'br-013', 'ON_LEAVE', 670, 0.28);</v>
      </c>
    </row>
    <row r="14" spans="1:12" x14ac:dyDescent="0.25">
      <c r="A14" s="1" t="s">
        <v>4481</v>
      </c>
      <c r="B14" t="str">
        <f ca="1">r_fname_f()&amp;" "&amp;r_lname()</f>
        <v>Augusta Mccarty</v>
      </c>
      <c r="C14" s="1" t="str">
        <f ca="1">r_choice(Branches!$A$2:$A$21)</f>
        <v>br-004</v>
      </c>
      <c r="D14" t="str">
        <f t="shared" ca="1" si="0"/>
        <v>ACTIVE</v>
      </c>
      <c r="E14" s="13">
        <f ca="1">r_uniform(600,800,-1)</f>
        <v>630</v>
      </c>
      <c r="F14" s="9">
        <f ca="1">r_uniform(0.1,0.3,2)</f>
        <v>0.25</v>
      </c>
      <c r="I14" t="str">
        <f t="shared" ca="1" si="1"/>
        <v>insert into Employees values ('empl_006', 'Minh Grove', 'br-003', 'ACTIVE', 670, 0.26);</v>
      </c>
    </row>
    <row r="15" spans="1:12" x14ac:dyDescent="0.25">
      <c r="A15" s="1" t="s">
        <v>4482</v>
      </c>
      <c r="B15" t="str">
        <f ca="1">r_fname_f()&amp;" "&amp;r_lname()</f>
        <v>Salome Cavalli</v>
      </c>
      <c r="C15" s="1" t="str">
        <f ca="1">r_choice(Branches!$A$2:$A$21)</f>
        <v>br-002</v>
      </c>
      <c r="D15" t="str">
        <f t="shared" ca="1" si="0"/>
        <v>ON_LEAVE</v>
      </c>
      <c r="E15" s="13">
        <f ca="1">r_uniform(600,800,-1)</f>
        <v>770</v>
      </c>
      <c r="F15" s="9">
        <f ca="1">r_uniform(0.1,0.3,2)</f>
        <v>0.3</v>
      </c>
      <c r="I15" t="str">
        <f t="shared" ca="1" si="1"/>
        <v>insert into Employees values ('empl_007', 'Eddie Hatcher', 'br-017', 'ON_LEAVE', 680, 0.23);</v>
      </c>
    </row>
    <row r="16" spans="1:12" x14ac:dyDescent="0.25">
      <c r="A16" s="1" t="s">
        <v>4483</v>
      </c>
      <c r="B16" t="str">
        <f ca="1">r_fname_f()&amp;" "&amp;r_lname()</f>
        <v>Ardell Mancini</v>
      </c>
      <c r="C16" s="1" t="str">
        <f ca="1">r_choice(Branches!$A$2:$A$21)</f>
        <v>br-018</v>
      </c>
      <c r="D16" t="str">
        <f t="shared" ca="1" si="0"/>
        <v>ON_LEAVE</v>
      </c>
      <c r="E16" s="13">
        <f ca="1">r_uniform(600,800,-1)</f>
        <v>640</v>
      </c>
      <c r="F16" s="9">
        <f ca="1">r_uniform(0.1,0.3,2)</f>
        <v>0.16</v>
      </c>
      <c r="I16" t="str">
        <f t="shared" ca="1" si="1"/>
        <v>insert into Employees values ('empl_008', 'Graham Larsen', 'br-017', 'ACTIVE', 700, 0.26);</v>
      </c>
    </row>
    <row r="17" spans="1:9" x14ac:dyDescent="0.25">
      <c r="A17" s="1" t="s">
        <v>4484</v>
      </c>
      <c r="B17" t="str">
        <f ca="1">r_fname_f()&amp;" "&amp;r_lname()</f>
        <v>Mirela Delgado</v>
      </c>
      <c r="C17" s="1" t="str">
        <f ca="1">r_choice(Branches!$A$2:$A$21)</f>
        <v>br-012</v>
      </c>
      <c r="D17" t="str">
        <f t="shared" ca="1" si="0"/>
        <v>ACTIVE</v>
      </c>
      <c r="E17" s="13">
        <f ca="1">r_uniform(600,800,-1)</f>
        <v>660</v>
      </c>
      <c r="F17" s="9">
        <f ca="1">r_uniform(0.1,0.3,2)</f>
        <v>0.18</v>
      </c>
      <c r="I17" t="str">
        <f t="shared" ca="1" si="1"/>
        <v>insert into Employees values ('empl_009', 'Kieth Kraft', 'br-007', 'ON_LEAVE', 600, 0.24);</v>
      </c>
    </row>
    <row r="18" spans="1:9" x14ac:dyDescent="0.25">
      <c r="A18" s="1" t="s">
        <v>4485</v>
      </c>
      <c r="B18" t="str">
        <f ca="1">r_fname_m()&amp;" "&amp;r_lname()</f>
        <v>Abel Hand</v>
      </c>
      <c r="C18" s="1" t="str">
        <f ca="1">r_choice(Branches!$A$2:$A$21)</f>
        <v>br-011</v>
      </c>
      <c r="D18" t="str">
        <f t="shared" ca="1" si="0"/>
        <v>ACTIVE</v>
      </c>
      <c r="E18" s="13">
        <f ca="1">r_uniform(600,800,-1)</f>
        <v>730</v>
      </c>
      <c r="F18" s="9">
        <f ca="1">r_uniform(0.1,0.3,2)</f>
        <v>0.28000000000000003</v>
      </c>
      <c r="I18" t="str">
        <f t="shared" ca="1" si="1"/>
        <v>insert into Employees values ('empl_010', 'Theresia Zuniga', 'br-006', 'ON_LEAVE', 700, 0.29);</v>
      </c>
    </row>
    <row r="19" spans="1:9" x14ac:dyDescent="0.25">
      <c r="A19" s="1" t="s">
        <v>4486</v>
      </c>
      <c r="B19" t="str">
        <f ca="1">r_fname_m()&amp;" "&amp;r_lname()</f>
        <v>Monroe Harmon</v>
      </c>
      <c r="C19" s="1" t="str">
        <f ca="1">r_choice(Branches!$A$2:$A$21)</f>
        <v>br-001</v>
      </c>
      <c r="D19" t="str">
        <f t="shared" ca="1" si="0"/>
        <v>ON_LEAVE</v>
      </c>
      <c r="E19" s="13">
        <f ca="1">r_uniform(600,800,-1)</f>
        <v>640</v>
      </c>
      <c r="F19" s="9">
        <f ca="1">r_uniform(0.1,0.3,2)</f>
        <v>0.23</v>
      </c>
      <c r="I19" t="str">
        <f t="shared" ca="1" si="1"/>
        <v>insert into Employees values ('empl_011', 'Alline Bunch', 'br-011', 'ACTIVE', 760, 0.19);</v>
      </c>
    </row>
    <row r="20" spans="1:9" x14ac:dyDescent="0.25">
      <c r="A20" s="1" t="s">
        <v>4487</v>
      </c>
      <c r="B20" t="str">
        <f ca="1">r_fname_m()&amp;" "&amp;r_lname()</f>
        <v>Lamont Christie</v>
      </c>
      <c r="C20" s="1" t="str">
        <f ca="1">r_choice(Branches!$A$2:$A$21)</f>
        <v>br-009</v>
      </c>
      <c r="D20" t="str">
        <f t="shared" ca="1" si="0"/>
        <v>ON_LEAVE</v>
      </c>
      <c r="E20" s="13">
        <f ca="1">r_uniform(600,800,-1)</f>
        <v>750</v>
      </c>
      <c r="F20" s="9">
        <f ca="1">r_uniform(0.1,0.3,2)</f>
        <v>0.13</v>
      </c>
      <c r="I20" t="str">
        <f t="shared" ca="1" si="1"/>
        <v>insert into Employees values ('empl_012', 'Percival Bray', 'br-009', 'ACTIVE', 750, 0.11);</v>
      </c>
    </row>
    <row r="21" spans="1:9" x14ac:dyDescent="0.25">
      <c r="A21" s="1" t="s">
        <v>4488</v>
      </c>
      <c r="B21" t="str">
        <f ca="1">r_fname_f()&amp;" "&amp;r_lname()</f>
        <v>Alice Law</v>
      </c>
      <c r="C21" s="1" t="str">
        <f ca="1">r_choice(Branches!$A$2:$A$21)</f>
        <v>br-016</v>
      </c>
      <c r="D21" t="str">
        <f t="shared" ca="1" si="0"/>
        <v>ON_LEAVE</v>
      </c>
      <c r="E21" s="13">
        <f ca="1">r_uniform(600,800,-1)</f>
        <v>620</v>
      </c>
      <c r="F21" s="9">
        <f ca="1">r_uniform(0.1,0.3,2)</f>
        <v>0.14000000000000001</v>
      </c>
      <c r="I21" t="str">
        <f t="shared" ca="1" si="1"/>
        <v>insert into Employees values ('empl_013', 'Augusta Mccarty', 'br-004', 'ACTIVE', 630, 0.25);</v>
      </c>
    </row>
    <row r="22" spans="1:9" x14ac:dyDescent="0.25">
      <c r="A22" s="1" t="s">
        <v>4489</v>
      </c>
      <c r="B22" t="str">
        <f ca="1">r_fname_m()&amp;" "&amp;r_lname()</f>
        <v>Vern Hensley</v>
      </c>
      <c r="C22" s="1" t="str">
        <f ca="1">r_choice(Branches!$A$2:$A$21)</f>
        <v>br-006</v>
      </c>
      <c r="D22" t="str">
        <f t="shared" ca="1" si="0"/>
        <v>ACTIVE</v>
      </c>
      <c r="E22" s="13">
        <f ca="1">r_uniform(600,800,-1)</f>
        <v>730</v>
      </c>
      <c r="F22" s="9">
        <f ca="1">r_uniform(0.1,0.3,2)</f>
        <v>0.18</v>
      </c>
      <c r="I22" t="str">
        <f t="shared" ca="1" si="1"/>
        <v>insert into Employees values ('empl_014', 'Salome Cavalli', 'br-002', 'ON_LEAVE', 770, 0.3);</v>
      </c>
    </row>
    <row r="23" spans="1:9" x14ac:dyDescent="0.25">
      <c r="A23" s="1" t="s">
        <v>4490</v>
      </c>
      <c r="B23" t="str">
        <f ca="1">r_fname_m()&amp;" "&amp;r_lname()</f>
        <v>Jon Austin</v>
      </c>
      <c r="C23" s="1" t="str">
        <f ca="1">r_choice(Branches!$A$2:$A$21)</f>
        <v>br-007</v>
      </c>
      <c r="D23" t="str">
        <f t="shared" ca="1" si="0"/>
        <v>ON_LEAVE</v>
      </c>
      <c r="E23" s="13">
        <f ca="1">r_uniform(600,800,-1)</f>
        <v>800</v>
      </c>
      <c r="F23" s="9">
        <f ca="1">r_uniform(0.1,0.3,2)</f>
        <v>0.11</v>
      </c>
      <c r="I23" t="str">
        <f t="shared" ca="1" si="1"/>
        <v>insert into Employees values ('empl_015', 'Ardell Mancini', 'br-018', 'ON_LEAVE', 640, 0.16);</v>
      </c>
    </row>
    <row r="24" spans="1:9" x14ac:dyDescent="0.25">
      <c r="A24" s="1" t="s">
        <v>4491</v>
      </c>
      <c r="B24" t="str">
        <f ca="1">r_fname_m()&amp;" "&amp;r_lname()</f>
        <v>Efren Nguyen</v>
      </c>
      <c r="C24" s="1" t="str">
        <f ca="1">r_choice(Branches!$A$2:$A$21)</f>
        <v>br-020</v>
      </c>
      <c r="D24" t="str">
        <f t="shared" ca="1" si="0"/>
        <v>ACTIVE</v>
      </c>
      <c r="E24" s="13">
        <f ca="1">r_uniform(600,800,-1)</f>
        <v>710</v>
      </c>
      <c r="F24" s="9">
        <f ca="1">r_uniform(0.1,0.3,2)</f>
        <v>0.23</v>
      </c>
      <c r="I24" t="str">
        <f t="shared" ca="1" si="1"/>
        <v>insert into Employees values ('empl_016', 'Mirela Delgado', 'br-012', 'ACTIVE', 660, 0.18);</v>
      </c>
    </row>
    <row r="25" spans="1:9" x14ac:dyDescent="0.25">
      <c r="A25" s="1" t="s">
        <v>4492</v>
      </c>
      <c r="B25" t="str">
        <f ca="1">r_fname_m()&amp;" "&amp;r_lname()</f>
        <v>Abe Marceau</v>
      </c>
      <c r="C25" s="1" t="str">
        <f ca="1">r_choice(Branches!$A$2:$A$21)</f>
        <v>br-012</v>
      </c>
      <c r="D25" t="str">
        <f t="shared" ca="1" si="0"/>
        <v>ACTIVE</v>
      </c>
      <c r="E25" s="13">
        <f ca="1">r_uniform(600,800,-1)</f>
        <v>780</v>
      </c>
      <c r="F25" s="9">
        <f ca="1">r_uniform(0.1,0.3,2)</f>
        <v>0.28999999999999998</v>
      </c>
      <c r="I25" t="str">
        <f t="shared" ca="1" si="1"/>
        <v>insert into Employees values ('empl_017', 'Abel Hand', 'br-011', 'ACTIVE', 730, 0.28);</v>
      </c>
    </row>
    <row r="26" spans="1:9" x14ac:dyDescent="0.25">
      <c r="A26" s="1" t="s">
        <v>4493</v>
      </c>
      <c r="B26" t="str">
        <f ca="1">r_fname_f()&amp;" "&amp;r_lname()</f>
        <v>Gill Gregory</v>
      </c>
      <c r="C26" s="1" t="str">
        <f ca="1">r_choice(Branches!$A$2:$A$21)</f>
        <v>br-012</v>
      </c>
      <c r="D26" t="str">
        <f t="shared" ca="1" si="0"/>
        <v>ON_LEAVE</v>
      </c>
      <c r="E26" s="13">
        <f ca="1">r_uniform(600,800,-1)</f>
        <v>690</v>
      </c>
      <c r="F26" s="9">
        <f ca="1">r_uniform(0.1,0.3,2)</f>
        <v>0.17</v>
      </c>
      <c r="I26" t="str">
        <f t="shared" ca="1" si="1"/>
        <v>insert into Employees values ('empl_018', 'Monroe Harmon', 'br-001', 'ON_LEAVE', 640, 0.23);</v>
      </c>
    </row>
    <row r="27" spans="1:9" x14ac:dyDescent="0.25">
      <c r="A27" s="1" t="s">
        <v>4494</v>
      </c>
      <c r="B27" t="str">
        <f ca="1">r_fname_f()&amp;" "&amp;r_lname()</f>
        <v>Adriene Dudley</v>
      </c>
      <c r="C27" s="1" t="str">
        <f ca="1">r_choice(Branches!$A$2:$A$21)</f>
        <v>br-003</v>
      </c>
      <c r="D27" t="str">
        <f t="shared" ca="1" si="0"/>
        <v>ACTIVE</v>
      </c>
      <c r="E27" s="13">
        <f ca="1">r_uniform(600,800,-1)</f>
        <v>740</v>
      </c>
      <c r="F27" s="9">
        <f ca="1">r_uniform(0.1,0.3,2)</f>
        <v>0.25</v>
      </c>
      <c r="I27" t="str">
        <f t="shared" ca="1" si="1"/>
        <v>insert into Employees values ('empl_019', 'Lamont Christie', 'br-009', 'ON_LEAVE', 750, 0.13);</v>
      </c>
    </row>
    <row r="28" spans="1:9" x14ac:dyDescent="0.25">
      <c r="A28" s="1" t="s">
        <v>4495</v>
      </c>
      <c r="B28" t="str">
        <f ca="1">r_fname_m()&amp;" "&amp;r_lname()</f>
        <v>Fredrick Stieglitz</v>
      </c>
      <c r="C28" s="1" t="str">
        <f ca="1">r_choice(Branches!$A$2:$A$21)</f>
        <v>br-010</v>
      </c>
      <c r="D28" t="str">
        <f t="shared" ca="1" si="0"/>
        <v>ON_LEAVE</v>
      </c>
      <c r="E28" s="13">
        <f ca="1">r_uniform(600,800,-1)</f>
        <v>790</v>
      </c>
      <c r="F28" s="9">
        <f ca="1">r_uniform(0.1,0.3,2)</f>
        <v>0.2</v>
      </c>
      <c r="I28" t="str">
        <f t="shared" ca="1" si="1"/>
        <v>insert into Employees values ('empl_020', 'Alice Law', 'br-016', 'ON_LEAVE', 620, 0.14);</v>
      </c>
    </row>
    <row r="29" spans="1:9" x14ac:dyDescent="0.25">
      <c r="A29" s="1" t="s">
        <v>4496</v>
      </c>
      <c r="B29" t="str">
        <f ca="1">r_fname_m()&amp;" "&amp;r_lname()</f>
        <v>Joan Rubio</v>
      </c>
      <c r="C29" s="1" t="str">
        <f ca="1">r_choice(Branches!$A$2:$A$21)</f>
        <v>br-014</v>
      </c>
      <c r="D29" t="str">
        <f t="shared" ca="1" si="0"/>
        <v>ON_LEAVE</v>
      </c>
      <c r="E29" s="13">
        <f ca="1">r_uniform(600,800,-1)</f>
        <v>620</v>
      </c>
      <c r="F29" s="9">
        <f ca="1">r_uniform(0.1,0.3,2)</f>
        <v>0.28000000000000003</v>
      </c>
      <c r="I29" t="str">
        <f t="shared" ca="1" si="1"/>
        <v>insert into Employees values ('empl_021', 'Vern Hensley', 'br-006', 'ACTIVE', 730, 0.18);</v>
      </c>
    </row>
    <row r="30" spans="1:9" x14ac:dyDescent="0.25">
      <c r="A30" s="1" t="s">
        <v>4497</v>
      </c>
      <c r="B30" t="str">
        <f ca="1">r_fname_m()&amp;" "&amp;r_lname()</f>
        <v>Glen Melton</v>
      </c>
      <c r="C30" s="1" t="str">
        <f ca="1">r_choice(Branches!$A$2:$A$21)</f>
        <v>br-001</v>
      </c>
      <c r="D30" t="str">
        <f t="shared" ca="1" si="0"/>
        <v>ON_LEAVE</v>
      </c>
      <c r="E30" s="13">
        <f ca="1">r_uniform(600,800,-1)</f>
        <v>650</v>
      </c>
      <c r="F30" s="9">
        <f ca="1">r_uniform(0.1,0.3,2)</f>
        <v>0.2</v>
      </c>
      <c r="I30" t="str">
        <f t="shared" ca="1" si="1"/>
        <v>insert into Employees values ('empl_022', 'Jon Austin', 'br-007', 'ON_LEAVE', 800, 0.11);</v>
      </c>
    </row>
    <row r="31" spans="1:9" x14ac:dyDescent="0.25">
      <c r="A31" s="1" t="s">
        <v>4498</v>
      </c>
      <c r="B31" t="str">
        <f ca="1">r_fname_m()&amp;" "&amp;r_lname()</f>
        <v>Josue Evangelista</v>
      </c>
      <c r="C31" s="1" t="str">
        <f ca="1">r_choice(Branches!$A$2:$A$21)</f>
        <v>br-019</v>
      </c>
      <c r="D31" t="str">
        <f t="shared" ca="1" si="0"/>
        <v>ACTIVE</v>
      </c>
      <c r="E31" s="13">
        <f ca="1">r_uniform(600,800,-1)</f>
        <v>690</v>
      </c>
      <c r="F31" s="9">
        <f ca="1">r_uniform(0.1,0.3,2)</f>
        <v>0.13</v>
      </c>
      <c r="I31" t="str">
        <f t="shared" ca="1" si="1"/>
        <v>insert into Employees values ('empl_023', 'Efren Nguyen', 'br-020', 'ACTIVE', 710, 0.23);</v>
      </c>
    </row>
    <row r="32" spans="1:9" x14ac:dyDescent="0.25">
      <c r="A32" s="1" t="s">
        <v>4499</v>
      </c>
      <c r="B32" t="str">
        <f ca="1">r_fname_m()&amp;" "&amp;r_lname()</f>
        <v>Gene Post</v>
      </c>
      <c r="C32" s="1" t="str">
        <f ca="1">r_choice(Branches!$A$2:$A$21)</f>
        <v>br-008</v>
      </c>
      <c r="D32" t="str">
        <f t="shared" ca="1" si="0"/>
        <v>ON_LEAVE</v>
      </c>
      <c r="E32" s="13">
        <f ca="1">r_uniform(600,800,-1)</f>
        <v>750</v>
      </c>
      <c r="F32" s="9">
        <f ca="1">r_uniform(0.1,0.3,2)</f>
        <v>0.28000000000000003</v>
      </c>
      <c r="I32" t="str">
        <f t="shared" ca="1" si="1"/>
        <v>insert into Employees values ('empl_024', 'Abe Marceau', 'br-012', 'ACTIVE', 780, 0.29);</v>
      </c>
    </row>
    <row r="33" spans="1:9" x14ac:dyDescent="0.25">
      <c r="A33" s="1" t="s">
        <v>4500</v>
      </c>
      <c r="B33" t="str">
        <f ca="1">r_fname_m()&amp;" "&amp;r_lname()</f>
        <v>Jorge Dailey</v>
      </c>
      <c r="C33" s="1" t="str">
        <f ca="1">r_choice(Branches!$A$2:$A$21)</f>
        <v>br-012</v>
      </c>
      <c r="D33" t="str">
        <f t="shared" ca="1" si="0"/>
        <v>ACTIVE</v>
      </c>
      <c r="E33" s="13">
        <f ca="1">r_uniform(600,800,-1)</f>
        <v>760</v>
      </c>
      <c r="F33" s="9">
        <f ca="1">r_uniform(0.1,0.3,2)</f>
        <v>0.3</v>
      </c>
      <c r="I33" t="str">
        <f t="shared" ca="1" si="1"/>
        <v>insert into Employees values ('empl_025', 'Gill Gregory', 'br-012', 'ON_LEAVE', 690, 0.17);</v>
      </c>
    </row>
    <row r="34" spans="1:9" x14ac:dyDescent="0.25">
      <c r="A34" s="1" t="s">
        <v>4501</v>
      </c>
      <c r="B34" t="str">
        <f ca="1">r_fname_m()&amp;" "&amp;r_lname()</f>
        <v>Luciano Wales</v>
      </c>
      <c r="C34" s="1" t="str">
        <f ca="1">r_choice(Branches!$A$2:$A$21)</f>
        <v>br-012</v>
      </c>
      <c r="D34" t="str">
        <f t="shared" ref="D34:D65" ca="1" si="2">r_choice($I$1:$I$2)</f>
        <v>ON_LEAVE</v>
      </c>
      <c r="E34" s="13">
        <f ca="1">r_uniform(600,800,-1)</f>
        <v>800</v>
      </c>
      <c r="F34" s="9">
        <f ca="1">r_uniform(0.1,0.3,2)</f>
        <v>0.28999999999999998</v>
      </c>
      <c r="I34" t="str">
        <f t="shared" ca="1" si="1"/>
        <v>insert into Employees values ('empl_026', 'Adriene Dudley', 'br-003', 'ACTIVE', 740, 0.25);</v>
      </c>
    </row>
    <row r="35" spans="1:9" x14ac:dyDescent="0.25">
      <c r="A35" s="1" t="s">
        <v>4502</v>
      </c>
      <c r="B35" t="str">
        <f ca="1">r_fname_m()&amp;" "&amp;r_lname()</f>
        <v>Efren Christiansen</v>
      </c>
      <c r="C35" s="1" t="str">
        <f ca="1">r_choice(Branches!$A$2:$A$21)</f>
        <v>br-010</v>
      </c>
      <c r="D35" t="str">
        <f t="shared" ca="1" si="2"/>
        <v>ACTIVE</v>
      </c>
      <c r="E35" s="13">
        <f ca="1">r_uniform(600,800,-1)</f>
        <v>640</v>
      </c>
      <c r="F35" s="9">
        <f ca="1">r_uniform(0.1,0.3,2)</f>
        <v>0.16</v>
      </c>
      <c r="I35" t="str">
        <f t="shared" ca="1" si="1"/>
        <v>insert into Employees values ('empl_027', 'Fredrick Stieglitz', 'br-010', 'ON_LEAVE', 790, 0.2);</v>
      </c>
    </row>
    <row r="36" spans="1:9" x14ac:dyDescent="0.25">
      <c r="A36" s="1" t="s">
        <v>4503</v>
      </c>
      <c r="B36" t="str">
        <f ca="1">r_fname_m()&amp;" "&amp;r_lname()</f>
        <v>Ezekiel Finney</v>
      </c>
      <c r="C36" s="1" t="str">
        <f ca="1">r_choice(Branches!$A$2:$A$21)</f>
        <v>br-008</v>
      </c>
      <c r="D36" t="str">
        <f t="shared" ca="1" si="2"/>
        <v>ON_LEAVE</v>
      </c>
      <c r="E36" s="13">
        <f ca="1">r_uniform(600,800,-1)</f>
        <v>610</v>
      </c>
      <c r="F36" s="9">
        <f ca="1">r_uniform(0.1,0.3,2)</f>
        <v>0.28999999999999998</v>
      </c>
      <c r="I36" t="str">
        <f t="shared" ca="1" si="1"/>
        <v>insert into Employees values ('empl_028', 'Joan Rubio', 'br-014', 'ON_LEAVE', 620, 0.28);</v>
      </c>
    </row>
    <row r="37" spans="1:9" x14ac:dyDescent="0.25">
      <c r="A37" s="1" t="s">
        <v>4504</v>
      </c>
      <c r="B37" t="str">
        <f ca="1">r_fname_m()&amp;" "&amp;r_lname()</f>
        <v>Gregg Cardenas</v>
      </c>
      <c r="C37" s="1" t="str">
        <f ca="1">r_choice(Branches!$A$2:$A$21)</f>
        <v>br-012</v>
      </c>
      <c r="D37" t="str">
        <f t="shared" ca="1" si="2"/>
        <v>ACTIVE</v>
      </c>
      <c r="E37" s="13">
        <f ca="1">r_uniform(600,800,-1)</f>
        <v>650</v>
      </c>
      <c r="F37" s="9">
        <f ca="1">r_uniform(0.1,0.3,2)</f>
        <v>0.19</v>
      </c>
      <c r="I37" t="str">
        <f t="shared" ca="1" si="1"/>
        <v>insert into Employees values ('empl_029', 'Glen Melton', 'br-001', 'ON_LEAVE', 650, 0.2);</v>
      </c>
    </row>
    <row r="38" spans="1:9" x14ac:dyDescent="0.25">
      <c r="A38" s="1" t="s">
        <v>4505</v>
      </c>
      <c r="B38" t="str">
        <f ca="1">r_fname_f()&amp;" "&amp;r_lname()</f>
        <v>Jenny William</v>
      </c>
      <c r="C38" s="1" t="str">
        <f ca="1">r_choice(Branches!$A$2:$A$21)</f>
        <v>br-002</v>
      </c>
      <c r="D38" t="str">
        <f t="shared" ca="1" si="2"/>
        <v>ON_LEAVE</v>
      </c>
      <c r="E38" s="13">
        <f ca="1">r_uniform(600,800,-1)</f>
        <v>650</v>
      </c>
      <c r="F38" s="9">
        <f ca="1">r_uniform(0.1,0.3,2)</f>
        <v>0.15</v>
      </c>
      <c r="I38" t="str">
        <f t="shared" ca="1" si="1"/>
        <v>insert into Employees values ('empl_030', 'Josue Evangelista', 'br-019', 'ACTIVE', 690, 0.13);</v>
      </c>
    </row>
    <row r="39" spans="1:9" x14ac:dyDescent="0.25">
      <c r="A39" s="1" t="s">
        <v>4506</v>
      </c>
      <c r="B39" t="str">
        <f ca="1">r_fname_m()&amp;" "&amp;r_lname()</f>
        <v>Galen Kirk</v>
      </c>
      <c r="C39" s="1" t="str">
        <f ca="1">r_choice(Branches!$A$2:$A$21)</f>
        <v>br-015</v>
      </c>
      <c r="D39" t="str">
        <f t="shared" ca="1" si="2"/>
        <v>ON_LEAVE</v>
      </c>
      <c r="E39" s="13">
        <f ca="1">r_uniform(600,800,-1)</f>
        <v>660</v>
      </c>
      <c r="F39" s="9">
        <f ca="1">r_uniform(0.1,0.3,2)</f>
        <v>0.3</v>
      </c>
      <c r="I39" t="str">
        <f t="shared" ca="1" si="1"/>
        <v>insert into Employees values ('empl_031', 'Gene Post', 'br-008', 'ON_LEAVE', 750, 0.28);</v>
      </c>
    </row>
    <row r="40" spans="1:9" x14ac:dyDescent="0.25">
      <c r="A40" s="1" t="s">
        <v>4507</v>
      </c>
      <c r="B40" t="str">
        <f ca="1">r_fname_f()&amp;" "&amp;r_lname()</f>
        <v>Aracely Salomon</v>
      </c>
      <c r="C40" s="1" t="str">
        <f ca="1">r_choice(Branches!$A$2:$A$21)</f>
        <v>br-019</v>
      </c>
      <c r="D40" t="str">
        <f t="shared" ca="1" si="2"/>
        <v>ACTIVE</v>
      </c>
      <c r="E40" s="13">
        <f ca="1">r_uniform(600,800,-1)</f>
        <v>620</v>
      </c>
      <c r="F40" s="9">
        <f ca="1">r_uniform(0.1,0.3,2)</f>
        <v>0.27</v>
      </c>
      <c r="I40" t="str">
        <f t="shared" ref="I40:I71" ca="1" si="3">insertinto(A33:F33,$K$1:$L$6,"Employees")</f>
        <v>insert into Employees values ('empl_032', 'Jorge Dailey', 'br-012', 'ACTIVE', 760, 0.3);</v>
      </c>
    </row>
    <row r="41" spans="1:9" x14ac:dyDescent="0.25">
      <c r="A41" s="1" t="s">
        <v>4508</v>
      </c>
      <c r="B41" t="str">
        <f ca="1">r_fname_m()&amp;" "&amp;r_lname()</f>
        <v>Garry Rollins</v>
      </c>
      <c r="C41" s="1" t="str">
        <f ca="1">r_choice(Branches!$A$2:$A$21)</f>
        <v>br-005</v>
      </c>
      <c r="D41" t="str">
        <f t="shared" ca="1" si="2"/>
        <v>ACTIVE</v>
      </c>
      <c r="E41" s="13">
        <f ca="1">r_uniform(600,800,-1)</f>
        <v>650</v>
      </c>
      <c r="F41" s="9">
        <f ca="1">r_uniform(0.1,0.3,2)</f>
        <v>0.26</v>
      </c>
      <c r="I41" t="str">
        <f t="shared" ca="1" si="3"/>
        <v>insert into Employees values ('empl_033', 'Luciano Wales', 'br-012', 'ON_LEAVE', 800, 0.29);</v>
      </c>
    </row>
    <row r="42" spans="1:9" x14ac:dyDescent="0.25">
      <c r="A42" s="1" t="s">
        <v>4509</v>
      </c>
      <c r="B42" t="str">
        <f ca="1">r_fname_m()&amp;" "&amp;r_lname()</f>
        <v>Sebastian Geller</v>
      </c>
      <c r="C42" s="1" t="str">
        <f ca="1">r_choice(Branches!$A$2:$A$21)</f>
        <v>br-012</v>
      </c>
      <c r="D42" t="str">
        <f t="shared" ca="1" si="2"/>
        <v>ACTIVE</v>
      </c>
      <c r="E42" s="13">
        <f ca="1">r_uniform(600,800,-1)</f>
        <v>780</v>
      </c>
      <c r="F42" s="9">
        <f ca="1">r_uniform(0.1,0.3,2)</f>
        <v>0.24</v>
      </c>
      <c r="I42" t="str">
        <f t="shared" ca="1" si="3"/>
        <v>insert into Employees values ('empl_034', 'Efren Christiansen', 'br-010', 'ACTIVE', 640, 0.16);</v>
      </c>
    </row>
    <row r="43" spans="1:9" x14ac:dyDescent="0.25">
      <c r="A43" s="1" t="s">
        <v>4510</v>
      </c>
      <c r="B43" t="str">
        <f ca="1">r_fname_f()&amp;" "&amp;r_lname()</f>
        <v>Piper Dodson</v>
      </c>
      <c r="C43" s="1" t="str">
        <f ca="1">r_choice(Branches!$A$2:$A$21)</f>
        <v>br-005</v>
      </c>
      <c r="D43" t="str">
        <f t="shared" ca="1" si="2"/>
        <v>ON_LEAVE</v>
      </c>
      <c r="E43" s="13">
        <f ca="1">r_uniform(600,800,-1)</f>
        <v>700</v>
      </c>
      <c r="F43" s="9">
        <f ca="1">r_uniform(0.1,0.3,2)</f>
        <v>0.16</v>
      </c>
      <c r="I43" t="str">
        <f t="shared" ca="1" si="3"/>
        <v>insert into Employees values ('empl_035', 'Ezekiel Finney', 'br-008', 'ON_LEAVE', 610, 0.29);</v>
      </c>
    </row>
    <row r="44" spans="1:9" x14ac:dyDescent="0.25">
      <c r="A44" s="1" t="s">
        <v>4511</v>
      </c>
      <c r="B44" t="str">
        <f ca="1">r_fname_f()&amp;" "&amp;r_lname()</f>
        <v>Dione Hurt</v>
      </c>
      <c r="C44" s="1" t="str">
        <f ca="1">r_choice(Branches!$A$2:$A$21)</f>
        <v>br-005</v>
      </c>
      <c r="D44" t="str">
        <f t="shared" ca="1" si="2"/>
        <v>ACTIVE</v>
      </c>
      <c r="E44" s="13">
        <f ca="1">r_uniform(600,800,-1)</f>
        <v>770</v>
      </c>
      <c r="F44" s="9">
        <f ca="1">r_uniform(0.1,0.3,2)</f>
        <v>0.25</v>
      </c>
      <c r="I44" t="str">
        <f t="shared" ca="1" si="3"/>
        <v>insert into Employees values ('empl_036', 'Gregg Cardenas', 'br-012', 'ACTIVE', 650, 0.19);</v>
      </c>
    </row>
    <row r="45" spans="1:9" x14ac:dyDescent="0.25">
      <c r="A45" s="1" t="s">
        <v>4512</v>
      </c>
      <c r="B45" t="str">
        <f ca="1">r_fname_m()&amp;" "&amp;r_lname()</f>
        <v>Andres Larkin</v>
      </c>
      <c r="C45" s="1" t="str">
        <f ca="1">r_choice(Branches!$A$2:$A$21)</f>
        <v>br-009</v>
      </c>
      <c r="D45" t="str">
        <f t="shared" ca="1" si="2"/>
        <v>ON_LEAVE</v>
      </c>
      <c r="E45" s="13">
        <f ca="1">r_uniform(600,800,-1)</f>
        <v>740</v>
      </c>
      <c r="F45" s="9">
        <f ca="1">r_uniform(0.1,0.3,2)</f>
        <v>0.23</v>
      </c>
      <c r="I45" t="str">
        <f t="shared" ca="1" si="3"/>
        <v>insert into Employees values ('empl_037', 'Jenny William', 'br-002', 'ON_LEAVE', 650, 0.15);</v>
      </c>
    </row>
    <row r="46" spans="1:9" x14ac:dyDescent="0.25">
      <c r="A46" s="1" t="s">
        <v>4513</v>
      </c>
      <c r="B46" t="str">
        <f ca="1">r_fname_m()&amp;" "&amp;r_lname()</f>
        <v>Wade Browning</v>
      </c>
      <c r="C46" s="1" t="str">
        <f ca="1">r_choice(Branches!$A$2:$A$21)</f>
        <v>br-013</v>
      </c>
      <c r="D46" t="str">
        <f t="shared" ca="1" si="2"/>
        <v>ACTIVE</v>
      </c>
      <c r="E46" s="13">
        <f ca="1">r_uniform(600,800,-1)</f>
        <v>600</v>
      </c>
      <c r="F46" s="9">
        <f ca="1">r_uniform(0.1,0.3,2)</f>
        <v>0.21</v>
      </c>
      <c r="I46" t="str">
        <f t="shared" ca="1" si="3"/>
        <v>insert into Employees values ('empl_038', 'Galen Kirk', 'br-015', 'ON_LEAVE', 660, 0.3);</v>
      </c>
    </row>
    <row r="47" spans="1:9" x14ac:dyDescent="0.25">
      <c r="A47" s="1" t="s">
        <v>4514</v>
      </c>
      <c r="B47" t="str">
        <f ca="1">r_fname_m()&amp;" "&amp;r_lname()</f>
        <v>Ariel Rolling</v>
      </c>
      <c r="C47" s="1" t="str">
        <f ca="1">r_choice(Branches!$A$2:$A$21)</f>
        <v>br-004</v>
      </c>
      <c r="D47" t="str">
        <f t="shared" ca="1" si="2"/>
        <v>ACTIVE</v>
      </c>
      <c r="E47" s="13">
        <f ca="1">r_uniform(600,800,-1)</f>
        <v>640</v>
      </c>
      <c r="F47" s="9">
        <f ca="1">r_uniform(0.1,0.3,2)</f>
        <v>0.1</v>
      </c>
      <c r="I47" t="str">
        <f t="shared" ca="1" si="3"/>
        <v>insert into Employees values ('empl_039', 'Aracely Salomon', 'br-019', 'ACTIVE', 620, 0.27);</v>
      </c>
    </row>
    <row r="48" spans="1:9" x14ac:dyDescent="0.25">
      <c r="A48" s="1" t="s">
        <v>4515</v>
      </c>
      <c r="B48" t="str">
        <f ca="1">r_fname_m()&amp;" "&amp;r_lname()</f>
        <v>Luciano Walker</v>
      </c>
      <c r="C48" s="1" t="str">
        <f ca="1">r_choice(Branches!$A$2:$A$21)</f>
        <v>br-017</v>
      </c>
      <c r="D48" t="str">
        <f t="shared" ca="1" si="2"/>
        <v>ACTIVE</v>
      </c>
      <c r="E48" s="13">
        <f ca="1">r_uniform(600,800,-1)</f>
        <v>790</v>
      </c>
      <c r="F48" s="9">
        <f ca="1">r_uniform(0.1,0.3,2)</f>
        <v>0.28999999999999998</v>
      </c>
      <c r="I48" t="str">
        <f t="shared" ca="1" si="3"/>
        <v>insert into Employees values ('empl_040', 'Garry Rollins', 'br-005', 'ACTIVE', 650, 0.26);</v>
      </c>
    </row>
    <row r="49" spans="1:9" x14ac:dyDescent="0.25">
      <c r="A49" s="1" t="s">
        <v>4516</v>
      </c>
      <c r="B49" t="str">
        <f ca="1">r_fname_f()&amp;" "&amp;r_lname()</f>
        <v>Eura Ferguson</v>
      </c>
      <c r="C49" s="1" t="str">
        <f ca="1">r_choice(Branches!$A$2:$A$21)</f>
        <v>br-012</v>
      </c>
      <c r="D49" t="str">
        <f t="shared" ca="1" si="2"/>
        <v>ACTIVE</v>
      </c>
      <c r="E49" s="13">
        <f ca="1">r_uniform(600,800,-1)</f>
        <v>640</v>
      </c>
      <c r="F49" s="9">
        <f ca="1">r_uniform(0.1,0.3,2)</f>
        <v>0.15</v>
      </c>
      <c r="I49" t="str">
        <f t="shared" ca="1" si="3"/>
        <v>insert into Employees values ('empl_041', 'Sebastian Geller', 'br-012', 'ACTIVE', 780, 0.24);</v>
      </c>
    </row>
    <row r="50" spans="1:9" x14ac:dyDescent="0.25">
      <c r="A50" s="1" t="s">
        <v>4517</v>
      </c>
      <c r="B50" t="str">
        <f ca="1">r_fname_f()&amp;" "&amp;r_lname()</f>
        <v>Armida Darnell</v>
      </c>
      <c r="C50" s="1" t="str">
        <f ca="1">r_choice(Branches!$A$2:$A$21)</f>
        <v>br-019</v>
      </c>
      <c r="D50" t="str">
        <f t="shared" ca="1" si="2"/>
        <v>ON_LEAVE</v>
      </c>
      <c r="E50" s="13">
        <f ca="1">r_uniform(600,800,-1)</f>
        <v>800</v>
      </c>
      <c r="F50" s="9">
        <f ca="1">r_uniform(0.1,0.3,2)</f>
        <v>0.28000000000000003</v>
      </c>
      <c r="I50" t="str">
        <f t="shared" ca="1" si="3"/>
        <v>insert into Employees values ('empl_042', 'Piper Dodson', 'br-005', 'ON_LEAVE', 700, 0.16);</v>
      </c>
    </row>
    <row r="51" spans="1:9" x14ac:dyDescent="0.25">
      <c r="A51" s="1" t="s">
        <v>5347</v>
      </c>
      <c r="B51" t="str">
        <f ca="1">r_fname_m()&amp;" "&amp;r_lname()</f>
        <v>Eloy Roe</v>
      </c>
      <c r="C51" s="1" t="str">
        <f ca="1">r_choice(Branches!$A$2:$A$21)</f>
        <v>br-016</v>
      </c>
      <c r="D51" t="str">
        <f t="shared" ca="1" si="2"/>
        <v>ON_LEAVE</v>
      </c>
      <c r="E51" s="13">
        <f ca="1">r_uniform(600,800,-1)</f>
        <v>650</v>
      </c>
      <c r="F51" s="9">
        <f ca="1">r_uniform(0.1,0.3,2)</f>
        <v>0.14000000000000001</v>
      </c>
      <c r="I51" t="str">
        <f t="shared" ca="1" si="3"/>
        <v>insert into Employees values ('empl_043', 'Dione Hurt', 'br-005', 'ACTIVE', 770, 0.25);</v>
      </c>
    </row>
    <row r="52" spans="1:9" x14ac:dyDescent="0.25">
      <c r="A52" s="1" t="s">
        <v>5349</v>
      </c>
      <c r="B52" t="str">
        <f ca="1">r_fname_f()&amp;" "&amp;r_lname()</f>
        <v>Marnie Forrest</v>
      </c>
      <c r="C52" s="1" t="str">
        <f ca="1">r_choice(Branches!$A$2:$A$21)</f>
        <v>br-014</v>
      </c>
      <c r="D52" t="str">
        <f t="shared" ca="1" si="2"/>
        <v>ON_LEAVE</v>
      </c>
      <c r="E52" s="13">
        <f ca="1">r_uniform(600,800,-1)</f>
        <v>690</v>
      </c>
      <c r="F52" s="9">
        <f ca="1">r_uniform(0.1,0.3,2)</f>
        <v>0.1</v>
      </c>
      <c r="I52" t="str">
        <f t="shared" ca="1" si="3"/>
        <v>insert into Employees values ('empl_044', 'Andres Larkin', 'br-009', 'ON_LEAVE', 740, 0.23);</v>
      </c>
    </row>
    <row r="53" spans="1:9" x14ac:dyDescent="0.25">
      <c r="A53" s="1" t="s">
        <v>5350</v>
      </c>
      <c r="B53" t="str">
        <f ca="1">r_fname_m()&amp;" "&amp;r_lname()</f>
        <v>Ceanu Heins</v>
      </c>
      <c r="C53" s="1" t="str">
        <f ca="1">r_choice(Branches!$A$2:$A$21)</f>
        <v>br-005</v>
      </c>
      <c r="D53" t="str">
        <f t="shared" ca="1" si="2"/>
        <v>ON_LEAVE</v>
      </c>
      <c r="E53" s="13">
        <f ca="1">r_uniform(600,800,-1)</f>
        <v>600</v>
      </c>
      <c r="F53" s="9">
        <f ca="1">r_uniform(0.1,0.3,2)</f>
        <v>0.15</v>
      </c>
      <c r="I53" t="str">
        <f t="shared" ca="1" si="3"/>
        <v>insert into Employees values ('empl_045', 'Wade Browning', 'br-013', 'ACTIVE', 600, 0.21);</v>
      </c>
    </row>
    <row r="54" spans="1:9" x14ac:dyDescent="0.25">
      <c r="A54" s="1" t="s">
        <v>5351</v>
      </c>
      <c r="B54" t="str">
        <f ca="1">r_fname_f()&amp;" "&amp;r_lname()</f>
        <v>Wilhemina Masters</v>
      </c>
      <c r="C54" s="1" t="str">
        <f ca="1">r_choice(Branches!$A$2:$A$21)</f>
        <v>br-001</v>
      </c>
      <c r="D54" t="str">
        <f t="shared" ca="1" si="2"/>
        <v>ON_LEAVE</v>
      </c>
      <c r="E54" s="13">
        <f ca="1">r_uniform(600,800,-1)</f>
        <v>690</v>
      </c>
      <c r="F54" s="9">
        <f ca="1">r_uniform(0.1,0.3,2)</f>
        <v>0.12</v>
      </c>
      <c r="I54" t="str">
        <f t="shared" ca="1" si="3"/>
        <v>insert into Employees values ('empl_046', 'Ariel Rolling', 'br-004', 'ACTIVE', 640, 0.1);</v>
      </c>
    </row>
    <row r="55" spans="1:9" x14ac:dyDescent="0.25">
      <c r="A55" s="1" t="s">
        <v>5352</v>
      </c>
      <c r="B55" t="str">
        <f ca="1">r_fname_m()&amp;" "&amp;r_lname()</f>
        <v>Teodoro Machado</v>
      </c>
      <c r="C55" s="1" t="str">
        <f ca="1">r_choice(Branches!$A$2:$A$21)</f>
        <v>br-020</v>
      </c>
      <c r="D55" t="str">
        <f t="shared" ca="1" si="2"/>
        <v>ACTIVE</v>
      </c>
      <c r="E55" s="13">
        <f ca="1">r_uniform(600,800,-1)</f>
        <v>650</v>
      </c>
      <c r="F55" s="9">
        <f ca="1">r_uniform(0.1,0.3,2)</f>
        <v>0.28000000000000003</v>
      </c>
      <c r="I55" t="str">
        <f t="shared" ca="1" si="3"/>
        <v>insert into Employees values ('empl_047', 'Luciano Walker', 'br-017', 'ACTIVE', 790, 0.29);</v>
      </c>
    </row>
    <row r="56" spans="1:9" x14ac:dyDescent="0.25">
      <c r="A56" s="1" t="s">
        <v>5353</v>
      </c>
      <c r="B56" t="str">
        <f ca="1">r_fname_m()&amp;" "&amp;r_lname()</f>
        <v>Bernard Gagnon</v>
      </c>
      <c r="C56" s="1" t="str">
        <f ca="1">r_choice(Branches!$A$2:$A$21)</f>
        <v>br-017</v>
      </c>
      <c r="D56" t="str">
        <f t="shared" ca="1" si="2"/>
        <v>ON_LEAVE</v>
      </c>
      <c r="E56" s="13">
        <f ca="1">r_uniform(600,800,-1)</f>
        <v>790</v>
      </c>
      <c r="F56" s="9">
        <f ca="1">r_uniform(0.1,0.3,2)</f>
        <v>0.15</v>
      </c>
      <c r="I56" t="str">
        <f t="shared" ca="1" si="3"/>
        <v>insert into Employees values ('empl_048', 'Eura Ferguson', 'br-012', 'ACTIVE', 640, 0.15);</v>
      </c>
    </row>
    <row r="57" spans="1:9" x14ac:dyDescent="0.25">
      <c r="A57" s="1" t="s">
        <v>5354</v>
      </c>
      <c r="B57" t="str">
        <f ca="1">r_fname_f()&amp;" "&amp;r_lname()</f>
        <v>Gail Blanco</v>
      </c>
      <c r="C57" s="1" t="str">
        <f ca="1">r_choice(Branches!$A$2:$A$21)</f>
        <v>br-013</v>
      </c>
      <c r="D57" t="str">
        <f t="shared" ca="1" si="2"/>
        <v>ON_LEAVE</v>
      </c>
      <c r="E57" s="13">
        <f ca="1">r_uniform(600,800,-1)</f>
        <v>770</v>
      </c>
      <c r="F57" s="9">
        <f ca="1">r_uniform(0.1,0.3,2)</f>
        <v>0.24</v>
      </c>
      <c r="I57" t="str">
        <f t="shared" ca="1" si="3"/>
        <v>insert into Employees values ('empl_049', 'Armida Darnell', 'br-019', 'ON_LEAVE', 800, 0.28);</v>
      </c>
    </row>
    <row r="58" spans="1:9" x14ac:dyDescent="0.25">
      <c r="A58" s="1" t="s">
        <v>5355</v>
      </c>
      <c r="B58" t="str">
        <f ca="1">r_fname_m()&amp;" "&amp;r_lname()</f>
        <v>Jamey Meyers</v>
      </c>
      <c r="C58" s="1" t="str">
        <f ca="1">r_choice(Branches!$A$2:$A$21)</f>
        <v>br-002</v>
      </c>
      <c r="D58" t="str">
        <f t="shared" ca="1" si="2"/>
        <v>ON_LEAVE</v>
      </c>
      <c r="E58" s="13">
        <f ca="1">r_uniform(600,800,-1)</f>
        <v>650</v>
      </c>
      <c r="F58" s="9">
        <f ca="1">r_uniform(0.1,0.3,2)</f>
        <v>0.22</v>
      </c>
      <c r="I58" t="str">
        <f t="shared" ca="1" si="3"/>
        <v>insert into Employees values ('empl_050', 'Eloy Roe', 'br-016', 'ON_LEAVE', 650, 0.14);</v>
      </c>
    </row>
    <row r="59" spans="1:9" x14ac:dyDescent="0.25">
      <c r="A59" s="1" t="s">
        <v>5356</v>
      </c>
      <c r="B59" t="str">
        <f ca="1">r_fname_m()&amp;" "&amp;r_lname()</f>
        <v>Lazaro Robinson</v>
      </c>
      <c r="C59" s="1" t="str">
        <f ca="1">r_choice(Branches!$A$2:$A$21)</f>
        <v>br-013</v>
      </c>
      <c r="D59" t="str">
        <f t="shared" ca="1" si="2"/>
        <v>ACTIVE</v>
      </c>
      <c r="E59" s="13">
        <f ca="1">r_uniform(600,800,-1)</f>
        <v>650</v>
      </c>
      <c r="F59" s="9">
        <f ca="1">r_uniform(0.1,0.3,2)</f>
        <v>0.27</v>
      </c>
      <c r="I59" t="str">
        <f t="shared" ca="1" si="3"/>
        <v>insert into Employees values ('empl_051', 'Marnie Forrest', 'br-014', 'ON_LEAVE', 690, 0.1);</v>
      </c>
    </row>
    <row r="60" spans="1:9" x14ac:dyDescent="0.25">
      <c r="A60" s="1" t="s">
        <v>5357</v>
      </c>
      <c r="B60" t="str">
        <f ca="1">r_fname_m()&amp;" "&amp;r_lname()</f>
        <v>Rudolph Albus</v>
      </c>
      <c r="C60" s="1" t="str">
        <f ca="1">r_choice(Branches!$A$2:$A$21)</f>
        <v>br-001</v>
      </c>
      <c r="D60" t="str">
        <f t="shared" ca="1" si="2"/>
        <v>ON_LEAVE</v>
      </c>
      <c r="E60" s="13">
        <f ca="1">r_uniform(600,800,-1)</f>
        <v>640</v>
      </c>
      <c r="F60" s="9">
        <f ca="1">r_uniform(0.1,0.3,2)</f>
        <v>0.12</v>
      </c>
      <c r="I60" t="str">
        <f t="shared" ca="1" si="3"/>
        <v>insert into Employees values ('empl_052', 'Ceanu Heins', 'br-005', 'ON_LEAVE', 600, 0.15);</v>
      </c>
    </row>
    <row r="61" spans="1:9" x14ac:dyDescent="0.25">
      <c r="A61" s="1" t="s">
        <v>5358</v>
      </c>
      <c r="B61" t="str">
        <f ca="1">r_fname_m()&amp;" "&amp;r_lname()</f>
        <v>Nathanael Hollander</v>
      </c>
      <c r="C61" s="1" t="str">
        <f ca="1">r_choice(Branches!$A$2:$A$21)</f>
        <v>br-020</v>
      </c>
      <c r="D61" t="str">
        <f t="shared" ca="1" si="2"/>
        <v>ON_LEAVE</v>
      </c>
      <c r="E61" s="13">
        <f ca="1">r_uniform(600,800,-1)</f>
        <v>730</v>
      </c>
      <c r="F61" s="9">
        <f ca="1">r_uniform(0.1,0.3,2)</f>
        <v>0.15</v>
      </c>
      <c r="I61" t="str">
        <f t="shared" ca="1" si="3"/>
        <v>insert into Employees values ('empl_053', 'Wilhemina Masters', 'br-001', 'ON_LEAVE', 690, 0.12);</v>
      </c>
    </row>
    <row r="62" spans="1:9" x14ac:dyDescent="0.25">
      <c r="A62" s="1" t="s">
        <v>5359</v>
      </c>
      <c r="B62" t="str">
        <f ca="1">r_fname_m()&amp;" "&amp;r_lname()</f>
        <v>Barry Cody</v>
      </c>
      <c r="C62" s="1" t="str">
        <f ca="1">r_choice(Branches!$A$2:$A$21)</f>
        <v>br-019</v>
      </c>
      <c r="D62" t="str">
        <f t="shared" ca="1" si="2"/>
        <v>ACTIVE</v>
      </c>
      <c r="E62" s="13">
        <f ca="1">r_uniform(600,800,-1)</f>
        <v>670</v>
      </c>
      <c r="F62" s="9">
        <f ca="1">r_uniform(0.1,0.3,2)</f>
        <v>0.28999999999999998</v>
      </c>
      <c r="I62" t="str">
        <f t="shared" ca="1" si="3"/>
        <v>insert into Employees values ('empl_054', 'Teodoro Machado', 'br-020', 'ACTIVE', 650, 0.28);</v>
      </c>
    </row>
    <row r="63" spans="1:9" x14ac:dyDescent="0.25">
      <c r="A63" s="1" t="s">
        <v>5360</v>
      </c>
      <c r="B63" t="str">
        <f ca="1">r_fname_m()&amp;" "&amp;r_lname()</f>
        <v>Jaimito Wolfe</v>
      </c>
      <c r="C63" s="1" t="str">
        <f ca="1">r_choice(Branches!$A$2:$A$21)</f>
        <v>br-019</v>
      </c>
      <c r="D63" t="str">
        <f t="shared" ca="1" si="2"/>
        <v>ACTIVE</v>
      </c>
      <c r="E63" s="13">
        <f ca="1">r_uniform(600,800,-1)</f>
        <v>770</v>
      </c>
      <c r="F63" s="9">
        <f ca="1">r_uniform(0.1,0.3,2)</f>
        <v>0.27</v>
      </c>
      <c r="I63" t="str">
        <f t="shared" ca="1" si="3"/>
        <v>insert into Employees values ('empl_055', 'Bernard Gagnon', 'br-017', 'ON_LEAVE', 790, 0.15);</v>
      </c>
    </row>
    <row r="64" spans="1:9" x14ac:dyDescent="0.25">
      <c r="A64" s="1" t="s">
        <v>5361</v>
      </c>
      <c r="B64" t="str">
        <f ca="1">r_fname_m()&amp;" "&amp;r_lname()</f>
        <v>David Weiss</v>
      </c>
      <c r="C64" s="1" t="str">
        <f ca="1">r_choice(Branches!$A$2:$A$21)</f>
        <v>br-017</v>
      </c>
      <c r="D64" t="str">
        <f t="shared" ca="1" si="2"/>
        <v>ON_LEAVE</v>
      </c>
      <c r="E64" s="13">
        <f ca="1">r_uniform(600,800,-1)</f>
        <v>670</v>
      </c>
      <c r="F64" s="9">
        <f ca="1">r_uniform(0.1,0.3,2)</f>
        <v>0.2</v>
      </c>
      <c r="I64" t="str">
        <f t="shared" ca="1" si="3"/>
        <v>insert into Employees values ('empl_056', 'Gail Blanco', 'br-013', 'ON_LEAVE', 770, 0.24);</v>
      </c>
    </row>
    <row r="65" spans="1:9" x14ac:dyDescent="0.25">
      <c r="A65" s="1" t="s">
        <v>5362</v>
      </c>
      <c r="B65" t="str">
        <f ca="1">r_fname_f()&amp;" "&amp;r_lname()</f>
        <v>Lisa Baines</v>
      </c>
      <c r="C65" s="1" t="str">
        <f ca="1">r_choice(Branches!$A$2:$A$21)</f>
        <v>br-001</v>
      </c>
      <c r="D65" t="str">
        <f t="shared" ca="1" si="2"/>
        <v>ACTIVE</v>
      </c>
      <c r="E65" s="13">
        <f ca="1">r_uniform(600,800,-1)</f>
        <v>650</v>
      </c>
      <c r="F65" s="9">
        <f ca="1">r_uniform(0.1,0.3,2)</f>
        <v>0.18</v>
      </c>
      <c r="I65" t="str">
        <f t="shared" ca="1" si="3"/>
        <v>insert into Employees values ('empl_057', 'Jamey Meyers', 'br-002', 'ON_LEAVE', 650, 0.22);</v>
      </c>
    </row>
    <row r="66" spans="1:9" x14ac:dyDescent="0.25">
      <c r="A66" s="1" t="s">
        <v>5363</v>
      </c>
      <c r="B66" t="str">
        <f ca="1">r_fname_f()&amp;" "&amp;r_lname()</f>
        <v>Latrice Driscoll</v>
      </c>
      <c r="C66" s="1" t="str">
        <f ca="1">r_choice(Branches!$A$2:$A$21)</f>
        <v>br-003</v>
      </c>
      <c r="D66" t="str">
        <f t="shared" ref="D66:D101" ca="1" si="4">r_choice($I$1:$I$2)</f>
        <v>ACTIVE</v>
      </c>
      <c r="E66" s="13">
        <f ca="1">r_uniform(600,800,-1)</f>
        <v>720</v>
      </c>
      <c r="F66" s="9">
        <f ca="1">r_uniform(0.1,0.3,2)</f>
        <v>0.3</v>
      </c>
      <c r="I66" t="str">
        <f t="shared" ca="1" si="3"/>
        <v>insert into Employees values ('empl_058', 'Lazaro Robinson', 'br-013', 'ACTIVE', 650, 0.27);</v>
      </c>
    </row>
    <row r="67" spans="1:9" x14ac:dyDescent="0.25">
      <c r="A67" s="1" t="s">
        <v>5364</v>
      </c>
      <c r="B67" t="str">
        <f ca="1">r_fname_f()&amp;" "&amp;r_lname()</f>
        <v>Silvana Moody</v>
      </c>
      <c r="C67" s="1" t="str">
        <f ca="1">r_choice(Branches!$A$2:$A$21)</f>
        <v>br-011</v>
      </c>
      <c r="D67" t="str">
        <f t="shared" ca="1" si="4"/>
        <v>ACTIVE</v>
      </c>
      <c r="E67" s="13">
        <f ca="1">r_uniform(600,800,-1)</f>
        <v>710</v>
      </c>
      <c r="F67" s="9">
        <f ca="1">r_uniform(0.1,0.3,2)</f>
        <v>0.24</v>
      </c>
      <c r="I67" t="str">
        <f t="shared" ca="1" si="3"/>
        <v>insert into Employees values ('empl_059', 'Rudolph Albus', 'br-001', 'ON_LEAVE', 640, 0.12);</v>
      </c>
    </row>
    <row r="68" spans="1:9" x14ac:dyDescent="0.25">
      <c r="A68" s="1" t="s">
        <v>5365</v>
      </c>
      <c r="B68" t="str">
        <f ca="1">r_fname_f()&amp;" "&amp;r_lname()</f>
        <v>Bonita Rickette</v>
      </c>
      <c r="C68" s="1" t="str">
        <f ca="1">r_choice(Branches!$A$2:$A$21)</f>
        <v>br-007</v>
      </c>
      <c r="D68" t="str">
        <f t="shared" ca="1" si="4"/>
        <v>ON_LEAVE</v>
      </c>
      <c r="E68" s="13">
        <f ca="1">r_uniform(600,800,-1)</f>
        <v>730</v>
      </c>
      <c r="F68" s="9">
        <f ca="1">r_uniform(0.1,0.3,2)</f>
        <v>0.24</v>
      </c>
      <c r="I68" t="str">
        <f t="shared" ca="1" si="3"/>
        <v>insert into Employees values ('empl_060', 'Nathanael Hollander', 'br-020', 'ON_LEAVE', 730, 0.15);</v>
      </c>
    </row>
    <row r="69" spans="1:9" x14ac:dyDescent="0.25">
      <c r="A69" s="1" t="s">
        <v>5366</v>
      </c>
      <c r="B69" t="str">
        <f ca="1">r_fname_f()&amp;" "&amp;r_lname()</f>
        <v>Tanika Durban</v>
      </c>
      <c r="C69" s="1" t="str">
        <f ca="1">r_choice(Branches!$A$2:$A$21)</f>
        <v>br-001</v>
      </c>
      <c r="D69" t="str">
        <f t="shared" ca="1" si="4"/>
        <v>ON_LEAVE</v>
      </c>
      <c r="E69" s="13">
        <f ca="1">r_uniform(600,800,-1)</f>
        <v>670</v>
      </c>
      <c r="F69" s="9">
        <f ca="1">r_uniform(0.1,0.3,2)</f>
        <v>0.11</v>
      </c>
      <c r="I69" t="str">
        <f t="shared" ca="1" si="3"/>
        <v>insert into Employees values ('empl_061', 'Barry Cody', 'br-019', 'ACTIVE', 670, 0.29);</v>
      </c>
    </row>
    <row r="70" spans="1:9" x14ac:dyDescent="0.25">
      <c r="A70" s="1" t="s">
        <v>5367</v>
      </c>
      <c r="B70" t="str">
        <f ca="1">r_fname_m()&amp;" "&amp;r_lname()</f>
        <v>Forrest Boone</v>
      </c>
      <c r="C70" s="1" t="str">
        <f ca="1">r_choice(Branches!$A$2:$A$21)</f>
        <v>br-015</v>
      </c>
      <c r="D70" t="str">
        <f t="shared" ca="1" si="4"/>
        <v>ON_LEAVE</v>
      </c>
      <c r="E70" s="13">
        <f ca="1">r_uniform(600,800,-1)</f>
        <v>620</v>
      </c>
      <c r="F70" s="9">
        <f ca="1">r_uniform(0.1,0.3,2)</f>
        <v>0.2</v>
      </c>
      <c r="I70" t="str">
        <f t="shared" ca="1" si="3"/>
        <v>insert into Employees values ('empl_062', 'Jaimito Wolfe', 'br-019', 'ACTIVE', 770, 0.27);</v>
      </c>
    </row>
    <row r="71" spans="1:9" x14ac:dyDescent="0.25">
      <c r="A71" s="1" t="s">
        <v>5368</v>
      </c>
      <c r="B71" t="str">
        <f ca="1">r_fname_m()&amp;" "&amp;r_lname()</f>
        <v>Simon Ashby</v>
      </c>
      <c r="C71" s="1" t="str">
        <f ca="1">r_choice(Branches!$A$2:$A$21)</f>
        <v>br-003</v>
      </c>
      <c r="D71" t="str">
        <f t="shared" ca="1" si="4"/>
        <v>ACTIVE</v>
      </c>
      <c r="E71" s="13">
        <f ca="1">r_uniform(600,800,-1)</f>
        <v>750</v>
      </c>
      <c r="F71" s="9">
        <f ca="1">r_uniform(0.1,0.3,2)</f>
        <v>0.22</v>
      </c>
      <c r="I71" t="str">
        <f t="shared" ca="1" si="3"/>
        <v>insert into Employees values ('empl_063', 'David Weiss', 'br-017', 'ON_LEAVE', 670, 0.2);</v>
      </c>
    </row>
    <row r="72" spans="1:9" x14ac:dyDescent="0.25">
      <c r="A72" s="1" t="s">
        <v>5369</v>
      </c>
      <c r="B72" t="str">
        <f ca="1">r_fname_m()&amp;" "&amp;r_lname()</f>
        <v>Jed Singleton</v>
      </c>
      <c r="C72" s="1" t="str">
        <f ca="1">r_choice(Branches!$A$2:$A$21)</f>
        <v>br-003</v>
      </c>
      <c r="D72" t="str">
        <f t="shared" ca="1" si="4"/>
        <v>ACTIVE</v>
      </c>
      <c r="E72" s="13">
        <f ca="1">r_uniform(600,800,-1)</f>
        <v>640</v>
      </c>
      <c r="F72" s="9">
        <f ca="1">r_uniform(0.1,0.3,2)</f>
        <v>0.3</v>
      </c>
      <c r="I72" t="str">
        <f t="shared" ref="I72:I103" ca="1" si="5">insertinto(A65:F65,$K$1:$L$6,"Employees")</f>
        <v>insert into Employees values ('empl_064', 'Lisa Baines', 'br-001', 'ACTIVE', 650, 0.18);</v>
      </c>
    </row>
    <row r="73" spans="1:9" x14ac:dyDescent="0.25">
      <c r="A73" s="1" t="s">
        <v>5370</v>
      </c>
      <c r="B73" t="str">
        <f ca="1">r_fname_m()&amp;" "&amp;r_lname()</f>
        <v>Simon Misirlis</v>
      </c>
      <c r="C73" s="1" t="str">
        <f ca="1">r_choice(Branches!$A$2:$A$21)</f>
        <v>br-014</v>
      </c>
      <c r="D73" t="str">
        <f t="shared" ca="1" si="4"/>
        <v>ON_LEAVE</v>
      </c>
      <c r="E73" s="13">
        <f ca="1">r_uniform(600,800,-1)</f>
        <v>790</v>
      </c>
      <c r="F73" s="9">
        <f ca="1">r_uniform(0.1,0.3,2)</f>
        <v>0.14000000000000001</v>
      </c>
      <c r="I73" t="str">
        <f t="shared" ca="1" si="5"/>
        <v>insert into Employees values ('empl_065', 'Latrice Driscoll', 'br-003', 'ACTIVE', 720, 0.3);</v>
      </c>
    </row>
    <row r="74" spans="1:9" x14ac:dyDescent="0.25">
      <c r="A74" s="1" t="s">
        <v>5371</v>
      </c>
      <c r="B74" t="str">
        <f ca="1">r_fname_f()&amp;" "&amp;r_lname()</f>
        <v>Renata Hunt</v>
      </c>
      <c r="C74" s="1" t="str">
        <f ca="1">r_choice(Branches!$A$2:$A$21)</f>
        <v>br-014</v>
      </c>
      <c r="D74" t="str">
        <f t="shared" ca="1" si="4"/>
        <v>ON_LEAVE</v>
      </c>
      <c r="E74" s="13">
        <f ca="1">r_uniform(600,800,-1)</f>
        <v>700</v>
      </c>
      <c r="F74" s="9">
        <f ca="1">r_uniform(0.1,0.3,2)</f>
        <v>0.24</v>
      </c>
      <c r="I74" t="str">
        <f t="shared" ca="1" si="5"/>
        <v>insert into Employees values ('empl_066', 'Silvana Moody', 'br-011', 'ACTIVE', 710, 0.24);</v>
      </c>
    </row>
    <row r="75" spans="1:9" x14ac:dyDescent="0.25">
      <c r="A75" s="1" t="s">
        <v>5372</v>
      </c>
      <c r="B75" t="str">
        <f ca="1">r_fname_m()&amp;" "&amp;r_lname()</f>
        <v>Fabian Berensohn</v>
      </c>
      <c r="C75" s="1" t="str">
        <f ca="1">r_choice(Branches!$A$2:$A$21)</f>
        <v>br-008</v>
      </c>
      <c r="D75" t="str">
        <f t="shared" ca="1" si="4"/>
        <v>ACTIVE</v>
      </c>
      <c r="E75" s="13">
        <f ca="1">r_uniform(600,800,-1)</f>
        <v>740</v>
      </c>
      <c r="F75" s="9">
        <f ca="1">r_uniform(0.1,0.3,2)</f>
        <v>0.22</v>
      </c>
      <c r="I75" t="str">
        <f t="shared" ca="1" si="5"/>
        <v>insert into Employees values ('empl_067', 'Bonita Rickette', 'br-007', 'ON_LEAVE', 730, 0.24);</v>
      </c>
    </row>
    <row r="76" spans="1:9" x14ac:dyDescent="0.25">
      <c r="A76" s="1" t="s">
        <v>5373</v>
      </c>
      <c r="B76" t="str">
        <f ca="1">r_fname_f()&amp;" "&amp;r_lname()</f>
        <v>Pamela Valencia</v>
      </c>
      <c r="C76" s="1" t="str">
        <f ca="1">r_choice(Branches!$A$2:$A$21)</f>
        <v>br-011</v>
      </c>
      <c r="D76" t="str">
        <f t="shared" ca="1" si="4"/>
        <v>ON_LEAVE</v>
      </c>
      <c r="E76" s="13">
        <f ca="1">r_uniform(600,800,-1)</f>
        <v>760</v>
      </c>
      <c r="F76" s="9">
        <f ca="1">r_uniform(0.1,0.3,2)</f>
        <v>0.16</v>
      </c>
      <c r="I76" t="str">
        <f t="shared" ca="1" si="5"/>
        <v>insert into Employees values ('empl_068', 'Tanika Durban', 'br-001', 'ON_LEAVE', 670, 0.11);</v>
      </c>
    </row>
    <row r="77" spans="1:9" x14ac:dyDescent="0.25">
      <c r="A77" s="1" t="s">
        <v>5374</v>
      </c>
      <c r="B77" t="str">
        <f ca="1">r_fname_m()&amp;" "&amp;r_lname()</f>
        <v>Juan Starr</v>
      </c>
      <c r="C77" s="1" t="str">
        <f ca="1">r_choice(Branches!$A$2:$A$21)</f>
        <v>br-019</v>
      </c>
      <c r="D77" t="str">
        <f t="shared" ca="1" si="4"/>
        <v>ON_LEAVE</v>
      </c>
      <c r="E77" s="13">
        <f ca="1">r_uniform(600,800,-1)</f>
        <v>670</v>
      </c>
      <c r="F77" s="9">
        <f ca="1">r_uniform(0.1,0.3,2)</f>
        <v>0.12</v>
      </c>
      <c r="I77" t="str">
        <f t="shared" ca="1" si="5"/>
        <v>insert into Employees values ('empl_069', 'Forrest Boone', 'br-015', 'ON_LEAVE', 620, 0.2);</v>
      </c>
    </row>
    <row r="78" spans="1:9" x14ac:dyDescent="0.25">
      <c r="A78" s="1" t="s">
        <v>5375</v>
      </c>
      <c r="B78" t="str">
        <f ca="1">r_fname_m()&amp;" "&amp;r_lname()</f>
        <v>Tommy Kirk</v>
      </c>
      <c r="C78" s="1" t="str">
        <f ca="1">r_choice(Branches!$A$2:$A$21)</f>
        <v>br-017</v>
      </c>
      <c r="D78" t="str">
        <f t="shared" ca="1" si="4"/>
        <v>ON_LEAVE</v>
      </c>
      <c r="E78" s="13">
        <f ca="1">r_uniform(600,800,-1)</f>
        <v>740</v>
      </c>
      <c r="F78" s="9">
        <f ca="1">r_uniform(0.1,0.3,2)</f>
        <v>0.28000000000000003</v>
      </c>
      <c r="I78" t="str">
        <f t="shared" ca="1" si="5"/>
        <v>insert into Employees values ('empl_070', 'Simon Ashby', 'br-003', 'ACTIVE', 750, 0.22);</v>
      </c>
    </row>
    <row r="79" spans="1:9" x14ac:dyDescent="0.25">
      <c r="A79" s="1" t="s">
        <v>5376</v>
      </c>
      <c r="B79" t="str">
        <f ca="1">r_fname_m()&amp;" "&amp;r_lname()</f>
        <v>Palmer Lawrence</v>
      </c>
      <c r="C79" s="1" t="str">
        <f ca="1">r_choice(Branches!$A$2:$A$21)</f>
        <v>br-004</v>
      </c>
      <c r="D79" t="str">
        <f t="shared" ca="1" si="4"/>
        <v>ACTIVE</v>
      </c>
      <c r="E79" s="13">
        <f ca="1">r_uniform(600,800,-1)</f>
        <v>610</v>
      </c>
      <c r="F79" s="9">
        <f ca="1">r_uniform(0.1,0.3,2)</f>
        <v>0.19</v>
      </c>
      <c r="I79" t="str">
        <f t="shared" ca="1" si="5"/>
        <v>insert into Employees values ('empl_071', 'Jed Singleton', 'br-003', 'ACTIVE', 640, 0.3);</v>
      </c>
    </row>
    <row r="80" spans="1:9" x14ac:dyDescent="0.25">
      <c r="A80" s="1" t="s">
        <v>5377</v>
      </c>
      <c r="B80" t="str">
        <f ca="1">r_fname_f()&amp;" "&amp;r_lname()</f>
        <v>Jillian Springer</v>
      </c>
      <c r="C80" s="1" t="str">
        <f ca="1">r_choice(Branches!$A$2:$A$21)</f>
        <v>br-017</v>
      </c>
      <c r="D80" t="str">
        <f t="shared" ca="1" si="4"/>
        <v>ACTIVE</v>
      </c>
      <c r="E80" s="13">
        <f ca="1">r_uniform(600,800,-1)</f>
        <v>750</v>
      </c>
      <c r="F80" s="9">
        <f ca="1">r_uniform(0.1,0.3,2)</f>
        <v>0.14000000000000001</v>
      </c>
      <c r="I80" t="str">
        <f t="shared" ca="1" si="5"/>
        <v>insert into Employees values ('empl_072', 'Simon Misirlis', 'br-014', 'ON_LEAVE', 790, 0.14);</v>
      </c>
    </row>
    <row r="81" spans="1:9" x14ac:dyDescent="0.25">
      <c r="A81" s="1" t="s">
        <v>5378</v>
      </c>
      <c r="B81" t="str">
        <f ca="1">r_fname_m()&amp;" "&amp;r_lname()</f>
        <v>Jc Kenney</v>
      </c>
      <c r="C81" s="1" t="str">
        <f ca="1">r_choice(Branches!$A$2:$A$21)</f>
        <v>br-012</v>
      </c>
      <c r="D81" t="str">
        <f t="shared" ca="1" si="4"/>
        <v>ACTIVE</v>
      </c>
      <c r="E81" s="13">
        <f ca="1">r_uniform(600,800,-1)</f>
        <v>790</v>
      </c>
      <c r="F81" s="9">
        <f ca="1">r_uniform(0.1,0.3,2)</f>
        <v>0.18</v>
      </c>
      <c r="I81" t="str">
        <f t="shared" ca="1" si="5"/>
        <v>insert into Employees values ('empl_073', 'Renata Hunt', 'br-014', 'ON_LEAVE', 700, 0.24);</v>
      </c>
    </row>
    <row r="82" spans="1:9" x14ac:dyDescent="0.25">
      <c r="A82" s="1" t="s">
        <v>5379</v>
      </c>
      <c r="B82" t="str">
        <f ca="1">r_fname_m()&amp;" "&amp;r_lname()</f>
        <v>Miles Rodin</v>
      </c>
      <c r="C82" s="1" t="str">
        <f ca="1">r_choice(Branches!$A$2:$A$21)</f>
        <v>br-003</v>
      </c>
      <c r="D82" t="str">
        <f t="shared" ca="1" si="4"/>
        <v>ACTIVE</v>
      </c>
      <c r="E82" s="13">
        <f ca="1">r_uniform(600,800,-1)</f>
        <v>710</v>
      </c>
      <c r="F82" s="9">
        <f ca="1">r_uniform(0.1,0.3,2)</f>
        <v>0.17</v>
      </c>
      <c r="I82" t="str">
        <f t="shared" ca="1" si="5"/>
        <v>insert into Employees values ('empl_074', 'Fabian Berensohn', 'br-008', 'ACTIVE', 740, 0.22);</v>
      </c>
    </row>
    <row r="83" spans="1:9" x14ac:dyDescent="0.25">
      <c r="A83" s="1" t="s">
        <v>5380</v>
      </c>
      <c r="B83" t="str">
        <f ca="1">r_fname_f()&amp;" "&amp;r_lname()</f>
        <v>Eloise Matos</v>
      </c>
      <c r="C83" s="1" t="str">
        <f ca="1">r_choice(Branches!$A$2:$A$21)</f>
        <v>br-012</v>
      </c>
      <c r="D83" t="str">
        <f t="shared" ca="1" si="4"/>
        <v>ACTIVE</v>
      </c>
      <c r="E83" s="13">
        <f ca="1">r_uniform(600,800,-1)</f>
        <v>710</v>
      </c>
      <c r="F83" s="9">
        <f ca="1">r_uniform(0.1,0.3,2)</f>
        <v>0.17</v>
      </c>
      <c r="I83" t="str">
        <f t="shared" ca="1" si="5"/>
        <v>insert into Employees values ('empl_075', 'Pamela Valencia', 'br-011', 'ON_LEAVE', 760, 0.16);</v>
      </c>
    </row>
    <row r="84" spans="1:9" x14ac:dyDescent="0.25">
      <c r="A84" s="1" t="s">
        <v>5381</v>
      </c>
      <c r="B84" t="str">
        <f ca="1">r_fname_f()&amp;" "&amp;r_lname()</f>
        <v>Hellen Herzog</v>
      </c>
      <c r="C84" s="1" t="str">
        <f ca="1">r_choice(Branches!$A$2:$A$21)</f>
        <v>br-010</v>
      </c>
      <c r="D84" t="str">
        <f t="shared" ca="1" si="4"/>
        <v>ON_LEAVE</v>
      </c>
      <c r="E84" s="13">
        <f ca="1">r_uniform(600,800,-1)</f>
        <v>760</v>
      </c>
      <c r="F84" s="9">
        <f ca="1">r_uniform(0.1,0.3,2)</f>
        <v>0.27</v>
      </c>
      <c r="I84" t="str">
        <f t="shared" ca="1" si="5"/>
        <v>insert into Employees values ('empl_076', 'Juan Starr', 'br-019', 'ON_LEAVE', 670, 0.12);</v>
      </c>
    </row>
    <row r="85" spans="1:9" x14ac:dyDescent="0.25">
      <c r="A85" s="1" t="s">
        <v>5382</v>
      </c>
      <c r="B85" t="str">
        <f ca="1">r_fname_f()&amp;" "&amp;r_lname()</f>
        <v>Faye Tracy</v>
      </c>
      <c r="C85" s="1" t="str">
        <f ca="1">r_choice(Branches!$A$2:$A$21)</f>
        <v>br-015</v>
      </c>
      <c r="D85" t="str">
        <f t="shared" ca="1" si="4"/>
        <v>ON_LEAVE</v>
      </c>
      <c r="E85" s="13">
        <f ca="1">r_uniform(600,800,-1)</f>
        <v>700</v>
      </c>
      <c r="F85" s="9">
        <f ca="1">r_uniform(0.1,0.3,2)</f>
        <v>0.3</v>
      </c>
      <c r="I85" t="str">
        <f t="shared" ca="1" si="5"/>
        <v>insert into Employees values ('empl_077', 'Tommy Kirk', 'br-017', 'ON_LEAVE', 740, 0.28);</v>
      </c>
    </row>
    <row r="86" spans="1:9" x14ac:dyDescent="0.25">
      <c r="A86" s="1" t="s">
        <v>5383</v>
      </c>
      <c r="B86" t="str">
        <f ca="1">r_fname_f()&amp;" "&amp;r_lname()</f>
        <v>Luann Cross</v>
      </c>
      <c r="C86" s="1" t="str">
        <f ca="1">r_choice(Branches!$A$2:$A$21)</f>
        <v>br-019</v>
      </c>
      <c r="D86" t="str">
        <f t="shared" ca="1" si="4"/>
        <v>ACTIVE</v>
      </c>
      <c r="E86" s="13">
        <f ca="1">r_uniform(600,800,-1)</f>
        <v>670</v>
      </c>
      <c r="F86" s="9">
        <f ca="1">r_uniform(0.1,0.3,2)</f>
        <v>0.19</v>
      </c>
      <c r="I86" t="str">
        <f t="shared" ca="1" si="5"/>
        <v>insert into Employees values ('empl_078', 'Palmer Lawrence', 'br-004', 'ACTIVE', 610, 0.19);</v>
      </c>
    </row>
    <row r="87" spans="1:9" x14ac:dyDescent="0.25">
      <c r="A87" s="1" t="s">
        <v>5384</v>
      </c>
      <c r="B87" t="str">
        <f ca="1">r_fname_m()&amp;" "&amp;r_lname()</f>
        <v>Toby Lozano</v>
      </c>
      <c r="C87" s="1" t="str">
        <f ca="1">r_choice(Branches!$A$2:$A$21)</f>
        <v>br-019</v>
      </c>
      <c r="D87" t="str">
        <f t="shared" ca="1" si="4"/>
        <v>ACTIVE</v>
      </c>
      <c r="E87" s="13">
        <f ca="1">r_uniform(600,800,-1)</f>
        <v>600</v>
      </c>
      <c r="F87" s="9">
        <f ca="1">r_uniform(0.1,0.3,2)</f>
        <v>0.15</v>
      </c>
      <c r="I87" t="str">
        <f t="shared" ca="1" si="5"/>
        <v>insert into Employees values ('empl_079', 'Jillian Springer', 'br-017', 'ACTIVE', 750, 0.14);</v>
      </c>
    </row>
    <row r="88" spans="1:9" x14ac:dyDescent="0.25">
      <c r="A88" s="1" t="s">
        <v>5385</v>
      </c>
      <c r="B88" t="str">
        <f ca="1">r_fname_m()&amp;" "&amp;r_lname()</f>
        <v>Raleigh Luke</v>
      </c>
      <c r="C88" s="1" t="str">
        <f ca="1">r_choice(Branches!$A$2:$A$21)</f>
        <v>br-008</v>
      </c>
      <c r="D88" t="str">
        <f t="shared" ca="1" si="4"/>
        <v>ACTIVE</v>
      </c>
      <c r="E88" s="13">
        <f ca="1">r_uniform(600,800,-1)</f>
        <v>790</v>
      </c>
      <c r="F88" s="9">
        <f ca="1">r_uniform(0.1,0.3,2)</f>
        <v>0.3</v>
      </c>
      <c r="I88" t="str">
        <f t="shared" ca="1" si="5"/>
        <v>insert into Employees values ('empl_080', 'Jc Kenney', 'br-012', 'ACTIVE', 790, 0.18);</v>
      </c>
    </row>
    <row r="89" spans="1:9" x14ac:dyDescent="0.25">
      <c r="A89" s="1" t="s">
        <v>5386</v>
      </c>
      <c r="B89" t="str">
        <f ca="1">r_fname_f()&amp;" "&amp;r_lname()</f>
        <v>Michelle Beck</v>
      </c>
      <c r="C89" s="1" t="str">
        <f ca="1">r_choice(Branches!$A$2:$A$21)</f>
        <v>br-015</v>
      </c>
      <c r="D89" t="str">
        <f t="shared" ca="1" si="4"/>
        <v>ACTIVE</v>
      </c>
      <c r="E89" s="13">
        <f ca="1">r_uniform(600,800,-1)</f>
        <v>660</v>
      </c>
      <c r="F89" s="9">
        <f ca="1">r_uniform(0.1,0.3,2)</f>
        <v>0.28999999999999998</v>
      </c>
      <c r="I89" t="str">
        <f t="shared" ca="1" si="5"/>
        <v>insert into Employees values ('empl_081', 'Miles Rodin', 'br-003', 'ACTIVE', 710, 0.17);</v>
      </c>
    </row>
    <row r="90" spans="1:9" x14ac:dyDescent="0.25">
      <c r="A90" s="1" t="s">
        <v>5387</v>
      </c>
      <c r="B90" t="str">
        <f ca="1">r_fname_m()&amp;" "&amp;r_lname()</f>
        <v>Leland King</v>
      </c>
      <c r="C90" s="1" t="str">
        <f ca="1">r_choice(Branches!$A$2:$A$21)</f>
        <v>br-017</v>
      </c>
      <c r="D90" t="str">
        <f t="shared" ca="1" si="4"/>
        <v>ACTIVE</v>
      </c>
      <c r="E90" s="13">
        <f ca="1">r_uniform(600,800,-1)</f>
        <v>620</v>
      </c>
      <c r="F90" s="9">
        <f ca="1">r_uniform(0.1,0.3,2)</f>
        <v>0.18</v>
      </c>
      <c r="I90" t="str">
        <f t="shared" ca="1" si="5"/>
        <v>insert into Employees values ('empl_082', 'Eloise Matos', 'br-012', 'ACTIVE', 710, 0.17);</v>
      </c>
    </row>
    <row r="91" spans="1:9" x14ac:dyDescent="0.25">
      <c r="A91" s="1" t="s">
        <v>5388</v>
      </c>
      <c r="B91" t="str">
        <f ca="1">r_fname_m()&amp;" "&amp;r_lname()</f>
        <v>Stefan Zappa</v>
      </c>
      <c r="C91" s="1" t="str">
        <f ca="1">r_choice(Branches!$A$2:$A$21)</f>
        <v>br-017</v>
      </c>
      <c r="D91" t="str">
        <f t="shared" ca="1" si="4"/>
        <v>ON_LEAVE</v>
      </c>
      <c r="E91" s="13">
        <f ca="1">r_uniform(600,800,-1)</f>
        <v>630</v>
      </c>
      <c r="F91" s="9">
        <f ca="1">r_uniform(0.1,0.3,2)</f>
        <v>0.13</v>
      </c>
      <c r="I91" t="str">
        <f t="shared" ca="1" si="5"/>
        <v>insert into Employees values ('empl_083', 'Hellen Herzog', 'br-010', 'ON_LEAVE', 760, 0.27);</v>
      </c>
    </row>
    <row r="92" spans="1:9" x14ac:dyDescent="0.25">
      <c r="A92" s="1" t="s">
        <v>5389</v>
      </c>
      <c r="B92" t="str">
        <f ca="1">r_fname_f()&amp;" "&amp;r_lname()</f>
        <v>Eden Kirkpatrick</v>
      </c>
      <c r="C92" s="1" t="str">
        <f ca="1">r_choice(Branches!$A$2:$A$21)</f>
        <v>br-014</v>
      </c>
      <c r="D92" t="str">
        <f t="shared" ca="1" si="4"/>
        <v>ON_LEAVE</v>
      </c>
      <c r="E92" s="13">
        <f ca="1">r_uniform(600,800,-1)</f>
        <v>630</v>
      </c>
      <c r="F92" s="9">
        <f ca="1">r_uniform(0.1,0.3,2)</f>
        <v>0.25</v>
      </c>
      <c r="I92" t="str">
        <f t="shared" ca="1" si="5"/>
        <v>insert into Employees values ('empl_084', 'Faye Tracy', 'br-015', 'ON_LEAVE', 700, 0.3);</v>
      </c>
    </row>
    <row r="93" spans="1:9" x14ac:dyDescent="0.25">
      <c r="A93" s="1" t="s">
        <v>5390</v>
      </c>
      <c r="B93" t="str">
        <f ca="1">r_fname_m()&amp;" "&amp;r_lname()</f>
        <v>Bill Kraft</v>
      </c>
      <c r="C93" s="1" t="str">
        <f ca="1">r_choice(Branches!$A$2:$A$21)</f>
        <v>br-013</v>
      </c>
      <c r="D93" t="str">
        <f t="shared" ca="1" si="4"/>
        <v>ON_LEAVE</v>
      </c>
      <c r="E93" s="13">
        <f ca="1">r_uniform(600,800,-1)</f>
        <v>730</v>
      </c>
      <c r="F93" s="9">
        <f ca="1">r_uniform(0.1,0.3,2)</f>
        <v>0.24</v>
      </c>
      <c r="I93" t="str">
        <f t="shared" ca="1" si="5"/>
        <v>insert into Employees values ('empl_085', 'Luann Cross', 'br-019', 'ACTIVE', 670, 0.19);</v>
      </c>
    </row>
    <row r="94" spans="1:9" x14ac:dyDescent="0.25">
      <c r="A94" s="1" t="s">
        <v>5391</v>
      </c>
      <c r="B94" t="str">
        <f ca="1">r_fname_m()&amp;" "&amp;r_lname()</f>
        <v>Chuck Omalley</v>
      </c>
      <c r="C94" s="1" t="str">
        <f ca="1">r_choice(Branches!$A$2:$A$21)</f>
        <v>br-011</v>
      </c>
      <c r="D94" t="str">
        <f t="shared" ca="1" si="4"/>
        <v>ON_LEAVE</v>
      </c>
      <c r="E94" s="13">
        <f ca="1">r_uniform(600,800,-1)</f>
        <v>710</v>
      </c>
      <c r="F94" s="9">
        <f ca="1">r_uniform(0.1,0.3,2)</f>
        <v>0.3</v>
      </c>
      <c r="I94" t="str">
        <f t="shared" ca="1" si="5"/>
        <v>insert into Employees values ('empl_086', 'Toby Lozano', 'br-019', 'ACTIVE', 600, 0.15);</v>
      </c>
    </row>
    <row r="95" spans="1:9" x14ac:dyDescent="0.25">
      <c r="A95" s="1" t="s">
        <v>5392</v>
      </c>
      <c r="B95" t="str">
        <f ca="1">r_fname_f()&amp;" "&amp;r_lname()</f>
        <v>Elfrieda Erickson</v>
      </c>
      <c r="C95" s="1" t="str">
        <f ca="1">r_choice(Branches!$A$2:$A$21)</f>
        <v>br-011</v>
      </c>
      <c r="D95" t="str">
        <f t="shared" ca="1" si="4"/>
        <v>ON_LEAVE</v>
      </c>
      <c r="E95" s="13">
        <f ca="1">r_uniform(600,800,-1)</f>
        <v>660</v>
      </c>
      <c r="F95" s="9">
        <f ca="1">r_uniform(0.1,0.3,2)</f>
        <v>0.16</v>
      </c>
      <c r="I95" t="str">
        <f t="shared" ca="1" si="5"/>
        <v>insert into Employees values ('empl_087', 'Raleigh Luke', 'br-008', 'ACTIVE', 790, 0.3);</v>
      </c>
    </row>
    <row r="96" spans="1:9" x14ac:dyDescent="0.25">
      <c r="A96" s="1" t="s">
        <v>5393</v>
      </c>
      <c r="B96" t="str">
        <f ca="1">r_fname_m()&amp;" "&amp;r_lname()</f>
        <v>Damon Bender</v>
      </c>
      <c r="C96" s="1" t="str">
        <f ca="1">r_choice(Branches!$A$2:$A$21)</f>
        <v>br-005</v>
      </c>
      <c r="D96" t="str">
        <f t="shared" ca="1" si="4"/>
        <v>ON_LEAVE</v>
      </c>
      <c r="E96" s="13">
        <f ca="1">r_uniform(600,800,-1)</f>
        <v>770</v>
      </c>
      <c r="F96" s="9">
        <f ca="1">r_uniform(0.1,0.3,2)</f>
        <v>0.18</v>
      </c>
      <c r="I96" t="str">
        <f t="shared" ca="1" si="5"/>
        <v>insert into Employees values ('empl_088', 'Michelle Beck', 'br-015', 'ACTIVE', 660, 0.29);</v>
      </c>
    </row>
    <row r="97" spans="1:9" x14ac:dyDescent="0.25">
      <c r="A97" s="1" t="s">
        <v>5394</v>
      </c>
      <c r="B97" t="str">
        <f ca="1">r_fname_f()&amp;" "&amp;r_lname()</f>
        <v>Simone Jennings</v>
      </c>
      <c r="C97" s="1" t="str">
        <f ca="1">r_choice(Branches!$A$2:$A$21)</f>
        <v>br-005</v>
      </c>
      <c r="D97" t="str">
        <f t="shared" ca="1" si="4"/>
        <v>ON_LEAVE</v>
      </c>
      <c r="E97" s="13">
        <f ca="1">r_uniform(600,800,-1)</f>
        <v>710</v>
      </c>
      <c r="F97" s="9">
        <f ca="1">r_uniform(0.1,0.3,2)</f>
        <v>0.27</v>
      </c>
      <c r="I97" t="str">
        <f t="shared" ca="1" si="5"/>
        <v>insert into Employees values ('empl_089', 'Leland King', 'br-017', 'ACTIVE', 620, 0.18);</v>
      </c>
    </row>
    <row r="98" spans="1:9" x14ac:dyDescent="0.25">
      <c r="A98" s="1" t="s">
        <v>5395</v>
      </c>
      <c r="B98" t="str">
        <f ca="1">r_fname_f()&amp;" "&amp;r_lname()</f>
        <v>Dorthea England</v>
      </c>
      <c r="C98" s="1" t="str">
        <f ca="1">r_choice(Branches!$A$2:$A$21)</f>
        <v>br-015</v>
      </c>
      <c r="D98" t="str">
        <f t="shared" ca="1" si="4"/>
        <v>ON_LEAVE</v>
      </c>
      <c r="E98" s="13">
        <f ca="1">r_uniform(600,800,-1)</f>
        <v>740</v>
      </c>
      <c r="F98" s="9">
        <f ca="1">r_uniform(0.1,0.3,2)</f>
        <v>0.11</v>
      </c>
      <c r="I98" t="str">
        <f t="shared" ca="1" si="5"/>
        <v>insert into Employees values ('empl_090', 'Stefan Zappa', 'br-017', 'ON_LEAVE', 630, 0.13);</v>
      </c>
    </row>
    <row r="99" spans="1:9" x14ac:dyDescent="0.25">
      <c r="A99" s="1" t="s">
        <v>5396</v>
      </c>
      <c r="B99" t="str">
        <f ca="1">r_fname_m()&amp;" "&amp;r_lname()</f>
        <v>Eli Fowler</v>
      </c>
      <c r="C99" s="1" t="str">
        <f ca="1">r_choice(Branches!$A$2:$A$21)</f>
        <v>br-020</v>
      </c>
      <c r="D99" t="str">
        <f t="shared" ca="1" si="4"/>
        <v>ACTIVE</v>
      </c>
      <c r="E99" s="13">
        <f ca="1">r_uniform(600,800,-1)</f>
        <v>620</v>
      </c>
      <c r="F99" s="9">
        <f ca="1">r_uniform(0.1,0.3,2)</f>
        <v>0.28000000000000003</v>
      </c>
      <c r="I99" t="str">
        <f t="shared" ca="1" si="5"/>
        <v>insert into Employees values ('empl_091', 'Eden Kirkpatrick', 'br-014', 'ON_LEAVE', 630, 0.25);</v>
      </c>
    </row>
    <row r="100" spans="1:9" x14ac:dyDescent="0.25">
      <c r="A100" s="1" t="s">
        <v>5397</v>
      </c>
      <c r="B100" t="str">
        <f ca="1">r_fname_m()&amp;" "&amp;r_lname()</f>
        <v>Ben Tapia</v>
      </c>
      <c r="C100" s="1" t="str">
        <f ca="1">r_choice(Branches!$A$2:$A$21)</f>
        <v>br-019</v>
      </c>
      <c r="D100" t="str">
        <f t="shared" ca="1" si="4"/>
        <v>ACTIVE</v>
      </c>
      <c r="E100" s="13">
        <f ca="1">r_uniform(600,800,-1)</f>
        <v>620</v>
      </c>
      <c r="F100" s="9">
        <f ca="1">r_uniform(0.1,0.3,2)</f>
        <v>0.14000000000000001</v>
      </c>
      <c r="I100" t="str">
        <f t="shared" ca="1" si="5"/>
        <v>insert into Employees values ('empl_092', 'Bill Kraft', 'br-013', 'ON_LEAVE', 730, 0.24);</v>
      </c>
    </row>
    <row r="101" spans="1:9" x14ac:dyDescent="0.25">
      <c r="A101" s="1" t="s">
        <v>5398</v>
      </c>
      <c r="B101" t="str">
        <f ca="1">r_fname_m()&amp;" "&amp;r_lname()</f>
        <v>Robert Newton</v>
      </c>
      <c r="C101" s="1" t="str">
        <f ca="1">r_choice(Branches!$A$2:$A$21)</f>
        <v>br-002</v>
      </c>
      <c r="D101" t="str">
        <f t="shared" ca="1" si="4"/>
        <v>ACTIVE</v>
      </c>
      <c r="E101" s="13">
        <f ca="1">r_uniform(600,800,-1)</f>
        <v>600</v>
      </c>
      <c r="F101" s="9">
        <f ca="1">r_uniform(0.1,0.3,2)</f>
        <v>0.22</v>
      </c>
      <c r="I101" t="str">
        <f t="shared" ca="1" si="5"/>
        <v>insert into Employees values ('empl_093', 'Chuck Omalley', 'br-011', 'ON_LEAVE', 710, 0.3);</v>
      </c>
    </row>
    <row r="102" spans="1:9" x14ac:dyDescent="0.25">
      <c r="I102" t="str">
        <f t="shared" ca="1" si="5"/>
        <v>insert into Employees values ('empl_094', 'Elfrieda Erickson', 'br-011', 'ON_LEAVE', 660, 0.16);</v>
      </c>
    </row>
    <row r="103" spans="1:9" x14ac:dyDescent="0.25">
      <c r="I103" t="str">
        <f t="shared" ca="1" si="5"/>
        <v>insert into Employees values ('empl_095', 'Damon Bender', 'br-005', 'ON_LEAVE', 770, 0.18);</v>
      </c>
    </row>
    <row r="104" spans="1:9" x14ac:dyDescent="0.25">
      <c r="I104" t="str">
        <f t="shared" ref="I104:I108" ca="1" si="6">insertinto(A97:F97,$K$1:$L$6,"Employees")</f>
        <v>insert into Employees values ('empl_096', 'Simone Jennings', 'br-005', 'ON_LEAVE', 710, 0.27);</v>
      </c>
    </row>
    <row r="105" spans="1:9" x14ac:dyDescent="0.25">
      <c r="I105" t="str">
        <f t="shared" ca="1" si="6"/>
        <v>insert into Employees values ('empl_097', 'Dorthea England', 'br-015', 'ON_LEAVE', 740, 0.11);</v>
      </c>
    </row>
    <row r="106" spans="1:9" x14ac:dyDescent="0.25">
      <c r="I106" t="str">
        <f t="shared" ca="1" si="6"/>
        <v>insert into Employees values ('empl_098', 'Eli Fowler', 'br-020', 'ACTIVE', 620, 0.28);</v>
      </c>
    </row>
    <row r="107" spans="1:9" x14ac:dyDescent="0.25">
      <c r="I107" t="str">
        <f t="shared" ca="1" si="6"/>
        <v>insert into Employees values ('empl_099', 'Ben Tapia', 'br-019', 'ACTIVE', 620, 0.14);</v>
      </c>
    </row>
    <row r="108" spans="1:9" x14ac:dyDescent="0.25">
      <c r="I108" t="str">
        <f t="shared" ca="1" si="6"/>
        <v>insert into Employees values ('empl_100', 'Robert Newton', 'br-002', 'ACTIVE', 600, 0.22);</v>
      </c>
    </row>
  </sheetData>
  <sortState xmlns:xlrd2="http://schemas.microsoft.com/office/spreadsheetml/2017/richdata2" ref="B2:F100">
    <sortCondition ref="E2:E100"/>
  </sortState>
  <phoneticPr fontId="2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E8575-0CD1-46B8-BC45-4569E1BF8D15}">
  <dimension ref="A1:N107"/>
  <sheetViews>
    <sheetView tabSelected="1" zoomScale="85" zoomScaleNormal="85" workbookViewId="0">
      <selection activeCell="C2" sqref="C2"/>
    </sheetView>
  </sheetViews>
  <sheetFormatPr defaultRowHeight="13.2" x14ac:dyDescent="0.25"/>
  <cols>
    <col min="2" max="3" width="13.21875" style="12" customWidth="1"/>
    <col min="4" max="4" width="8.88671875" style="4"/>
    <col min="5" max="5" width="10.109375" bestFit="1" customWidth="1"/>
    <col min="6" max="6" width="12.88671875" bestFit="1" customWidth="1"/>
    <col min="11" max="11" width="17.5546875" bestFit="1" customWidth="1"/>
  </cols>
  <sheetData>
    <row r="1" spans="1:14" x14ac:dyDescent="0.25">
      <c r="A1" s="1" t="s">
        <v>4157</v>
      </c>
      <c r="B1" s="11" t="s">
        <v>4105</v>
      </c>
      <c r="C1" s="11" t="s">
        <v>4309</v>
      </c>
      <c r="D1" s="3" t="s">
        <v>4104</v>
      </c>
      <c r="E1" s="1" t="s">
        <v>4306</v>
      </c>
      <c r="F1" s="1" t="s">
        <v>4892</v>
      </c>
      <c r="I1" s="1"/>
      <c r="K1" s="1" t="s">
        <v>4157</v>
      </c>
      <c r="L1" s="1" t="s">
        <v>5399</v>
      </c>
      <c r="N1" s="1" t="s">
        <v>4210</v>
      </c>
    </row>
    <row r="2" spans="1:14" x14ac:dyDescent="0.25">
      <c r="A2" s="1" t="s">
        <v>4158</v>
      </c>
      <c r="B2" s="11">
        <f ca="1">r_date(2020,1,2020,12)</f>
        <v>44179</v>
      </c>
      <c r="C2" s="11" t="str">
        <f ca="1">r_choice(Customers!$A$2:$A$301)</f>
        <v>cust-035</v>
      </c>
      <c r="D2" s="3" t="str">
        <f ca="1">"Prod-"&amp; TEXT(r_integer(1,40),"000")</f>
        <v>Prod-033</v>
      </c>
      <c r="E2" t="str">
        <f ca="1">r_choice($I$13:$I$15)</f>
        <v>LOW</v>
      </c>
      <c r="F2" t="str">
        <f ca="1">r_choice(Warehouses!$A$2:$A$6)</f>
        <v>wrh-004</v>
      </c>
      <c r="I2" s="1"/>
      <c r="K2" s="11" t="s">
        <v>4105</v>
      </c>
      <c r="L2" s="1" t="s">
        <v>5401</v>
      </c>
    </row>
    <row r="3" spans="1:14" x14ac:dyDescent="0.25">
      <c r="A3" s="1" t="s">
        <v>4159</v>
      </c>
      <c r="B3" s="11">
        <f t="shared" ref="B3:B66" ca="1" si="0">r_date(2020,1,2020,12)</f>
        <v>43888</v>
      </c>
      <c r="C3" s="11" t="str">
        <f ca="1">r_choice(Customers!$A$2:$A$301)</f>
        <v>cust-084</v>
      </c>
      <c r="D3" s="3" t="str">
        <f t="shared" ref="D3:D66" ca="1" si="1">"Prod-"&amp; TEXT(r_integer(1,40),"000")</f>
        <v>Prod-022</v>
      </c>
      <c r="E3" t="str">
        <f t="shared" ref="E3:E66" ca="1" si="2">r_choice($I$13:$I$15)</f>
        <v>LOW</v>
      </c>
      <c r="F3" t="str">
        <f ca="1">r_choice(Warehouses!$A$2:$A$6)</f>
        <v>wrh-004</v>
      </c>
      <c r="I3" s="1"/>
      <c r="K3" s="11" t="s">
        <v>4309</v>
      </c>
      <c r="L3" s="1" t="s">
        <v>5399</v>
      </c>
    </row>
    <row r="4" spans="1:14" x14ac:dyDescent="0.25">
      <c r="A4" s="1" t="s">
        <v>4160</v>
      </c>
      <c r="B4" s="11">
        <f t="shared" ca="1" si="0"/>
        <v>44090</v>
      </c>
      <c r="C4" s="11" t="str">
        <f ca="1">r_choice(Customers!$A$2:$A$301)</f>
        <v>cust-182</v>
      </c>
      <c r="D4" s="3" t="str">
        <f t="shared" ca="1" si="1"/>
        <v>Prod-035</v>
      </c>
      <c r="E4" t="str">
        <f t="shared" ca="1" si="2"/>
        <v>MEDIUM</v>
      </c>
      <c r="F4" t="str">
        <f ca="1">r_choice(Warehouses!$A$2:$A$6)</f>
        <v>wrh-005</v>
      </c>
      <c r="I4" s="1"/>
      <c r="K4" s="3" t="s">
        <v>4104</v>
      </c>
      <c r="L4" s="1" t="s">
        <v>5399</v>
      </c>
    </row>
    <row r="5" spans="1:14" x14ac:dyDescent="0.25">
      <c r="A5" s="1" t="s">
        <v>4161</v>
      </c>
      <c r="B5" s="11">
        <f t="shared" ca="1" si="0"/>
        <v>43943</v>
      </c>
      <c r="C5" s="11" t="str">
        <f ca="1">r_choice(Customers!$A$2:$A$301)</f>
        <v>cust-198</v>
      </c>
      <c r="D5" s="3" t="str">
        <f t="shared" ca="1" si="1"/>
        <v>Prod-005</v>
      </c>
      <c r="E5" t="str">
        <f t="shared" ca="1" si="2"/>
        <v>LOW</v>
      </c>
      <c r="F5" t="str">
        <f ca="1">r_choice(Warehouses!$A$2:$A$6)</f>
        <v>wrh-005</v>
      </c>
      <c r="I5" s="1"/>
      <c r="K5" s="1" t="s">
        <v>4306</v>
      </c>
      <c r="L5" s="1" t="s">
        <v>5399</v>
      </c>
    </row>
    <row r="6" spans="1:14" x14ac:dyDescent="0.25">
      <c r="A6" s="1" t="s">
        <v>4162</v>
      </c>
      <c r="B6" s="11">
        <f t="shared" ca="1" si="0"/>
        <v>44141</v>
      </c>
      <c r="C6" s="11" t="str">
        <f ca="1">r_choice(Customers!$A$2:$A$301)</f>
        <v>cust-228</v>
      </c>
      <c r="D6" s="3" t="str">
        <f t="shared" ca="1" si="1"/>
        <v>Prod-007</v>
      </c>
      <c r="E6" t="str">
        <f t="shared" ca="1" si="2"/>
        <v>MEDIUM</v>
      </c>
      <c r="F6" t="str">
        <f ca="1">r_choice(Warehouses!$A$2:$A$6)</f>
        <v>wrh-003</v>
      </c>
      <c r="I6" s="1"/>
      <c r="K6" s="1" t="s">
        <v>4892</v>
      </c>
      <c r="L6" s="1" t="s">
        <v>5399</v>
      </c>
    </row>
    <row r="7" spans="1:14" x14ac:dyDescent="0.25">
      <c r="A7" s="1" t="s">
        <v>4163</v>
      </c>
      <c r="B7" s="11">
        <f t="shared" ca="1" si="0"/>
        <v>43998</v>
      </c>
      <c r="C7" s="11" t="str">
        <f ca="1">r_choice(Customers!$A$2:$A$301)</f>
        <v>cust-069</v>
      </c>
      <c r="D7" s="3" t="str">
        <f t="shared" ca="1" si="1"/>
        <v>Prod-001</v>
      </c>
      <c r="E7" t="str">
        <f t="shared" ca="1" si="2"/>
        <v>MEDIUM</v>
      </c>
      <c r="F7" t="str">
        <f ca="1">r_choice(Warehouses!$A$2:$A$6)</f>
        <v>wrh-001</v>
      </c>
      <c r="K7" s="1"/>
      <c r="L7" s="1"/>
    </row>
    <row r="8" spans="1:14" x14ac:dyDescent="0.25">
      <c r="A8" s="1" t="s">
        <v>4164</v>
      </c>
      <c r="B8" s="11">
        <f t="shared" ca="1" si="0"/>
        <v>44193</v>
      </c>
      <c r="C8" s="11" t="str">
        <f ca="1">r_choice(Customers!$A$2:$A$301)</f>
        <v>cust-192</v>
      </c>
      <c r="D8" s="3" t="str">
        <f t="shared" ca="1" si="1"/>
        <v>Prod-025</v>
      </c>
      <c r="E8" t="str">
        <f t="shared" ca="1" si="2"/>
        <v>MEDIUM</v>
      </c>
      <c r="F8" t="str">
        <f ca="1">r_choice(Warehouses!$A$2:$A$6)</f>
        <v>wrh-003</v>
      </c>
      <c r="K8" t="str">
        <f t="shared" ref="K8:K39" ca="1" si="3">insertinto(A2:F2,$K$1:$L$6,"Online_orders")</f>
        <v>insert into Online_orders values ('Ord-001', '14-Dec-2020', 'cust-035', 'Prod-033', 'LOW', 'wrh-004');</v>
      </c>
      <c r="L8" s="1"/>
    </row>
    <row r="9" spans="1:14" x14ac:dyDescent="0.25">
      <c r="A9" s="1" t="s">
        <v>4165</v>
      </c>
      <c r="B9" s="11">
        <f t="shared" ca="1" si="0"/>
        <v>43892</v>
      </c>
      <c r="C9" s="11" t="str">
        <f ca="1">r_choice(Customers!$A$2:$A$301)</f>
        <v>cust-282</v>
      </c>
      <c r="D9" s="3" t="str">
        <f t="shared" ca="1" si="1"/>
        <v>Prod-009</v>
      </c>
      <c r="E9" t="str">
        <f t="shared" ca="1" si="2"/>
        <v>LOW</v>
      </c>
      <c r="F9" t="str">
        <f ca="1">r_choice(Warehouses!$A$2:$A$6)</f>
        <v>wrh-005</v>
      </c>
      <c r="K9" t="str">
        <f t="shared" ca="1" si="3"/>
        <v>insert into Online_orders values ('Ord-002', '27-Feb-2020', 'cust-084', 'Prod-022', 'LOW', 'wrh-004');</v>
      </c>
      <c r="L9" s="1"/>
    </row>
    <row r="10" spans="1:14" x14ac:dyDescent="0.25">
      <c r="A10" s="1" t="s">
        <v>4166</v>
      </c>
      <c r="B10" s="11">
        <f t="shared" ca="1" si="0"/>
        <v>43870</v>
      </c>
      <c r="C10" s="11" t="str">
        <f ca="1">r_choice(Customers!$A$2:$A$301)</f>
        <v>cust-029</v>
      </c>
      <c r="D10" s="3" t="str">
        <f t="shared" ca="1" si="1"/>
        <v>Prod-017</v>
      </c>
      <c r="E10" t="str">
        <f t="shared" ca="1" si="2"/>
        <v>LOW</v>
      </c>
      <c r="F10" t="str">
        <f ca="1">r_choice(Warehouses!$A$2:$A$6)</f>
        <v>wrh-003</v>
      </c>
      <c r="K10" t="str">
        <f t="shared" ca="1" si="3"/>
        <v>insert into Online_orders values ('Ord-003', '16-Sep-2020', 'cust-182', 'Prod-035', 'MEDIUM', 'wrh-005');</v>
      </c>
      <c r="L10" s="1"/>
    </row>
    <row r="11" spans="1:14" x14ac:dyDescent="0.25">
      <c r="A11" s="1" t="s">
        <v>4167</v>
      </c>
      <c r="B11" s="11">
        <f t="shared" ca="1" si="0"/>
        <v>44098</v>
      </c>
      <c r="C11" s="11" t="str">
        <f ca="1">r_choice(Customers!$A$2:$A$301)</f>
        <v>cust-114</v>
      </c>
      <c r="D11" s="3" t="str">
        <f t="shared" ca="1" si="1"/>
        <v>Prod-038</v>
      </c>
      <c r="E11" t="str">
        <f t="shared" ca="1" si="2"/>
        <v>MEDIUM</v>
      </c>
      <c r="F11" t="str">
        <f ca="1">r_choice(Warehouses!$A$2:$A$6)</f>
        <v>wrh-003</v>
      </c>
      <c r="K11" t="str">
        <f t="shared" ca="1" si="3"/>
        <v>insert into Online_orders values ('Ord-004', '22-Apr-2020', 'cust-198', 'Prod-005', 'LOW', 'wrh-005');</v>
      </c>
      <c r="L11" s="1"/>
    </row>
    <row r="12" spans="1:14" x14ac:dyDescent="0.25">
      <c r="A12" s="1" t="s">
        <v>4168</v>
      </c>
      <c r="B12" s="11">
        <f t="shared" ca="1" si="0"/>
        <v>43934</v>
      </c>
      <c r="C12" s="11" t="str">
        <f ca="1">r_choice(Customers!$A$2:$A$301)</f>
        <v>cust-100</v>
      </c>
      <c r="D12" s="3" t="str">
        <f t="shared" ca="1" si="1"/>
        <v>Prod-018</v>
      </c>
      <c r="E12" t="str">
        <f t="shared" ca="1" si="2"/>
        <v>HIGH</v>
      </c>
      <c r="F12" t="str">
        <f ca="1">r_choice(Warehouses!$A$2:$A$6)</f>
        <v>wrh-004</v>
      </c>
      <c r="I12" t="s">
        <v>4306</v>
      </c>
      <c r="K12" t="str">
        <f t="shared" ca="1" si="3"/>
        <v>insert into Online_orders values ('Ord-005', '06-Nov-2020', 'cust-228', 'Prod-007', 'MEDIUM', 'wrh-003');</v>
      </c>
      <c r="L12" s="1"/>
    </row>
    <row r="13" spans="1:14" x14ac:dyDescent="0.25">
      <c r="A13" s="1" t="s">
        <v>4169</v>
      </c>
      <c r="B13" s="11">
        <f t="shared" ca="1" si="0"/>
        <v>44073</v>
      </c>
      <c r="C13" s="11" t="str">
        <f ca="1">r_choice(Customers!$A$2:$A$301)</f>
        <v>cust-186</v>
      </c>
      <c r="D13" s="3" t="str">
        <f t="shared" ca="1" si="1"/>
        <v>Prod-009</v>
      </c>
      <c r="E13" t="str">
        <f t="shared" ca="1" si="2"/>
        <v>MEDIUM</v>
      </c>
      <c r="F13" t="str">
        <f ca="1">r_choice(Warehouses!$A$2:$A$6)</f>
        <v>wrh-001</v>
      </c>
      <c r="I13" s="1" t="s">
        <v>4918</v>
      </c>
      <c r="K13" t="str">
        <f t="shared" ca="1" si="3"/>
        <v>insert into Online_orders values ('Ord-006', '16-Jun-2020', 'cust-069', 'Prod-001', 'MEDIUM', 'wrh-001');</v>
      </c>
      <c r="L13" s="1"/>
    </row>
    <row r="14" spans="1:14" x14ac:dyDescent="0.25">
      <c r="A14" s="1" t="s">
        <v>4170</v>
      </c>
      <c r="B14" s="11">
        <f t="shared" ca="1" si="0"/>
        <v>43979</v>
      </c>
      <c r="C14" s="11" t="str">
        <f ca="1">r_choice(Customers!$A$2:$A$301)</f>
        <v>cust-086</v>
      </c>
      <c r="D14" s="3" t="str">
        <f t="shared" ca="1" si="1"/>
        <v>Prod-015</v>
      </c>
      <c r="E14" t="str">
        <f t="shared" ca="1" si="2"/>
        <v>LOW</v>
      </c>
      <c r="F14" t="str">
        <f ca="1">r_choice(Warehouses!$A$2:$A$6)</f>
        <v>wrh-002</v>
      </c>
      <c r="I14" s="1" t="s">
        <v>4975</v>
      </c>
      <c r="K14" t="str">
        <f t="shared" ca="1" si="3"/>
        <v>insert into Online_orders values ('Ord-007', '28-Dec-2020', 'cust-192', 'Prod-025', 'MEDIUM', 'wrh-003');</v>
      </c>
      <c r="L14" s="1"/>
    </row>
    <row r="15" spans="1:14" x14ac:dyDescent="0.25">
      <c r="A15" s="1" t="s">
        <v>4171</v>
      </c>
      <c r="B15" s="11">
        <f t="shared" ca="1" si="0"/>
        <v>43955</v>
      </c>
      <c r="C15" s="11" t="str">
        <f ca="1">r_choice(Customers!$A$2:$A$301)</f>
        <v>cust-084</v>
      </c>
      <c r="D15" s="3" t="str">
        <f t="shared" ca="1" si="1"/>
        <v>Prod-004</v>
      </c>
      <c r="E15" t="str">
        <f t="shared" ca="1" si="2"/>
        <v>HIGH</v>
      </c>
      <c r="F15" t="str">
        <f ca="1">r_choice(Warehouses!$A$2:$A$6)</f>
        <v>wrh-002</v>
      </c>
      <c r="I15" s="1" t="s">
        <v>4920</v>
      </c>
      <c r="K15" t="str">
        <f t="shared" ca="1" si="3"/>
        <v>insert into Online_orders values ('Ord-008', '02-Mar-2020', 'cust-282', 'Prod-009', 'LOW', 'wrh-005');</v>
      </c>
      <c r="L15" s="1"/>
    </row>
    <row r="16" spans="1:14" x14ac:dyDescent="0.25">
      <c r="A16" s="1" t="s">
        <v>4172</v>
      </c>
      <c r="B16" s="11">
        <f t="shared" ca="1" si="0"/>
        <v>43924</v>
      </c>
      <c r="C16" s="11" t="str">
        <f ca="1">r_choice(Customers!$A$2:$A$301)</f>
        <v>cust-037</v>
      </c>
      <c r="D16" s="3" t="str">
        <f t="shared" ca="1" si="1"/>
        <v>Prod-017</v>
      </c>
      <c r="E16" t="str">
        <f t="shared" ca="1" si="2"/>
        <v>LOW</v>
      </c>
      <c r="F16" t="str">
        <f ca="1">r_choice(Warehouses!$A$2:$A$6)</f>
        <v>wrh-004</v>
      </c>
      <c r="K16" t="str">
        <f t="shared" ca="1" si="3"/>
        <v>insert into Online_orders values ('Ord-009', '09-Feb-2020', 'cust-029', 'Prod-017', 'LOW', 'wrh-003');</v>
      </c>
      <c r="L16" s="1"/>
    </row>
    <row r="17" spans="1:12" x14ac:dyDescent="0.25">
      <c r="A17" s="1" t="s">
        <v>4173</v>
      </c>
      <c r="B17" s="11">
        <f t="shared" ca="1" si="0"/>
        <v>44066</v>
      </c>
      <c r="C17" s="11" t="str">
        <f ca="1">r_choice(Customers!$A$2:$A$301)</f>
        <v>cust-117</v>
      </c>
      <c r="D17" s="3" t="str">
        <f t="shared" ca="1" si="1"/>
        <v>Prod-032</v>
      </c>
      <c r="E17" t="str">
        <f t="shared" ca="1" si="2"/>
        <v>MEDIUM</v>
      </c>
      <c r="F17" t="str">
        <f ca="1">r_choice(Warehouses!$A$2:$A$6)</f>
        <v>wrh-005</v>
      </c>
      <c r="K17" t="str">
        <f t="shared" ca="1" si="3"/>
        <v>insert into Online_orders values ('Ord-010', '24-Sep-2020', 'cust-114', 'Prod-038', 'MEDIUM', 'wrh-003');</v>
      </c>
      <c r="L17" s="1"/>
    </row>
    <row r="18" spans="1:12" x14ac:dyDescent="0.25">
      <c r="A18" s="1" t="s">
        <v>4174</v>
      </c>
      <c r="B18" s="11">
        <f t="shared" ca="1" si="0"/>
        <v>43892</v>
      </c>
      <c r="C18" s="11" t="str">
        <f ca="1">r_choice(Customers!$A$2:$A$301)</f>
        <v>cust-267</v>
      </c>
      <c r="D18" s="3" t="str">
        <f t="shared" ca="1" si="1"/>
        <v>Prod-039</v>
      </c>
      <c r="E18" t="str">
        <f t="shared" ca="1" si="2"/>
        <v>HIGH</v>
      </c>
      <c r="F18" t="str">
        <f ca="1">r_choice(Warehouses!$A$2:$A$6)</f>
        <v>wrh-004</v>
      </c>
      <c r="K18" t="str">
        <f t="shared" ca="1" si="3"/>
        <v>insert into Online_orders values ('Ord-011', '13-Apr-2020', 'cust-100', 'Prod-018', 'HIGH', 'wrh-004');</v>
      </c>
    </row>
    <row r="19" spans="1:12" x14ac:dyDescent="0.25">
      <c r="A19" s="1" t="s">
        <v>4175</v>
      </c>
      <c r="B19" s="11">
        <f t="shared" ca="1" si="0"/>
        <v>44137</v>
      </c>
      <c r="C19" s="11" t="str">
        <f ca="1">r_choice(Customers!$A$2:$A$301)</f>
        <v>cust-075</v>
      </c>
      <c r="D19" s="3" t="str">
        <f t="shared" ca="1" si="1"/>
        <v>Prod-002</v>
      </c>
      <c r="E19" t="str">
        <f t="shared" ca="1" si="2"/>
        <v>HIGH</v>
      </c>
      <c r="F19" t="str">
        <f ca="1">r_choice(Warehouses!$A$2:$A$6)</f>
        <v>wrh-001</v>
      </c>
      <c r="K19" t="str">
        <f t="shared" ca="1" si="3"/>
        <v>insert into Online_orders values ('Ord-012', '30-Aug-2020', 'cust-186', 'Prod-009', 'MEDIUM', 'wrh-001');</v>
      </c>
    </row>
    <row r="20" spans="1:12" x14ac:dyDescent="0.25">
      <c r="A20" s="1" t="s">
        <v>4176</v>
      </c>
      <c r="B20" s="11">
        <f t="shared" ca="1" si="0"/>
        <v>44188</v>
      </c>
      <c r="C20" s="11" t="str">
        <f ca="1">r_choice(Customers!$A$2:$A$301)</f>
        <v>cust-218</v>
      </c>
      <c r="D20" s="3" t="str">
        <f t="shared" ca="1" si="1"/>
        <v>Prod-027</v>
      </c>
      <c r="E20" t="str">
        <f t="shared" ca="1" si="2"/>
        <v>HIGH</v>
      </c>
      <c r="F20" t="str">
        <f ca="1">r_choice(Warehouses!$A$2:$A$6)</f>
        <v>wrh-001</v>
      </c>
      <c r="K20" t="str">
        <f t="shared" ca="1" si="3"/>
        <v>insert into Online_orders values ('Ord-013', '28-May-2020', 'cust-086', 'Prod-015', 'LOW', 'wrh-002');</v>
      </c>
    </row>
    <row r="21" spans="1:12" x14ac:dyDescent="0.25">
      <c r="A21" s="1" t="s">
        <v>4177</v>
      </c>
      <c r="B21" s="11">
        <f t="shared" ca="1" si="0"/>
        <v>44147</v>
      </c>
      <c r="C21" s="11" t="str">
        <f ca="1">r_choice(Customers!$A$2:$A$301)</f>
        <v>cust-003</v>
      </c>
      <c r="D21" s="3" t="str">
        <f t="shared" ca="1" si="1"/>
        <v>Prod-028</v>
      </c>
      <c r="E21" t="str">
        <f t="shared" ca="1" si="2"/>
        <v>HIGH</v>
      </c>
      <c r="F21" t="str">
        <f ca="1">r_choice(Warehouses!$A$2:$A$6)</f>
        <v>wrh-004</v>
      </c>
      <c r="K21" t="str">
        <f t="shared" ca="1" si="3"/>
        <v>insert into Online_orders values ('Ord-014', '04-May-2020', 'cust-084', 'Prod-004', 'HIGH', 'wrh-002');</v>
      </c>
    </row>
    <row r="22" spans="1:12" x14ac:dyDescent="0.25">
      <c r="A22" s="1" t="s">
        <v>4178</v>
      </c>
      <c r="B22" s="11">
        <f t="shared" ca="1" si="0"/>
        <v>43947</v>
      </c>
      <c r="C22" s="11" t="str">
        <f ca="1">r_choice(Customers!$A$2:$A$301)</f>
        <v>cust-054</v>
      </c>
      <c r="D22" s="3" t="str">
        <f t="shared" ca="1" si="1"/>
        <v>Prod-019</v>
      </c>
      <c r="E22" t="str">
        <f t="shared" ca="1" si="2"/>
        <v>LOW</v>
      </c>
      <c r="F22" t="str">
        <f ca="1">r_choice(Warehouses!$A$2:$A$6)</f>
        <v>wrh-002</v>
      </c>
      <c r="K22" t="str">
        <f t="shared" ca="1" si="3"/>
        <v>insert into Online_orders values ('Ord-015', '03-Apr-2020', 'cust-037', 'Prod-017', 'LOW', 'wrh-004');</v>
      </c>
    </row>
    <row r="23" spans="1:12" x14ac:dyDescent="0.25">
      <c r="A23" s="1" t="s">
        <v>4179</v>
      </c>
      <c r="B23" s="11">
        <f t="shared" ca="1" si="0"/>
        <v>44014</v>
      </c>
      <c r="C23" s="11" t="str">
        <f ca="1">r_choice(Customers!$A$2:$A$301)</f>
        <v>cust-193</v>
      </c>
      <c r="D23" s="3" t="str">
        <f t="shared" ca="1" si="1"/>
        <v>Prod-020</v>
      </c>
      <c r="E23" t="str">
        <f t="shared" ca="1" si="2"/>
        <v>HIGH</v>
      </c>
      <c r="F23" t="str">
        <f ca="1">r_choice(Warehouses!$A$2:$A$6)</f>
        <v>wrh-003</v>
      </c>
      <c r="K23" t="str">
        <f t="shared" ca="1" si="3"/>
        <v>insert into Online_orders values ('Ord-016', '23-Aug-2020', 'cust-117', 'Prod-032', 'MEDIUM', 'wrh-005');</v>
      </c>
    </row>
    <row r="24" spans="1:12" x14ac:dyDescent="0.25">
      <c r="A24" s="1" t="s">
        <v>4180</v>
      </c>
      <c r="B24" s="11">
        <f t="shared" ca="1" si="0"/>
        <v>44058</v>
      </c>
      <c r="C24" s="11" t="str">
        <f ca="1">r_choice(Customers!$A$2:$A$301)</f>
        <v>cust-265</v>
      </c>
      <c r="D24" s="3" t="str">
        <f t="shared" ca="1" si="1"/>
        <v>Prod-018</v>
      </c>
      <c r="E24" t="str">
        <f t="shared" ca="1" si="2"/>
        <v>HIGH</v>
      </c>
      <c r="F24" t="str">
        <f ca="1">r_choice(Warehouses!$A$2:$A$6)</f>
        <v>wrh-005</v>
      </c>
      <c r="K24" t="str">
        <f t="shared" ca="1" si="3"/>
        <v>insert into Online_orders values ('Ord-017', '02-Mar-2020', 'cust-267', 'Prod-039', 'HIGH', 'wrh-004');</v>
      </c>
    </row>
    <row r="25" spans="1:12" x14ac:dyDescent="0.25">
      <c r="A25" s="1" t="s">
        <v>4181</v>
      </c>
      <c r="B25" s="11">
        <f t="shared" ca="1" si="0"/>
        <v>43932</v>
      </c>
      <c r="C25" s="11" t="str">
        <f ca="1">r_choice(Customers!$A$2:$A$301)</f>
        <v>cust-173</v>
      </c>
      <c r="D25" s="3" t="str">
        <f t="shared" ca="1" si="1"/>
        <v>Prod-002</v>
      </c>
      <c r="E25" t="str">
        <f t="shared" ca="1" si="2"/>
        <v>LOW</v>
      </c>
      <c r="F25" t="str">
        <f ca="1">r_choice(Warehouses!$A$2:$A$6)</f>
        <v>wrh-002</v>
      </c>
      <c r="K25" t="str">
        <f t="shared" ca="1" si="3"/>
        <v>insert into Online_orders values ('Ord-018', '02-Nov-2020', 'cust-075', 'Prod-002', 'HIGH', 'wrh-001');</v>
      </c>
    </row>
    <row r="26" spans="1:12" x14ac:dyDescent="0.25">
      <c r="A26" s="1" t="s">
        <v>4182</v>
      </c>
      <c r="B26" s="11">
        <f t="shared" ca="1" si="0"/>
        <v>43895</v>
      </c>
      <c r="C26" s="11" t="str">
        <f ca="1">r_choice(Customers!$A$2:$A$301)</f>
        <v>cust-104</v>
      </c>
      <c r="D26" s="3" t="str">
        <f t="shared" ca="1" si="1"/>
        <v>Prod-007</v>
      </c>
      <c r="E26" t="str">
        <f t="shared" ca="1" si="2"/>
        <v>LOW</v>
      </c>
      <c r="F26" t="str">
        <f ca="1">r_choice(Warehouses!$A$2:$A$6)</f>
        <v>wrh-002</v>
      </c>
      <c r="K26" t="str">
        <f t="shared" ca="1" si="3"/>
        <v>insert into Online_orders values ('Ord-019', '23-Dec-2020', 'cust-218', 'Prod-027', 'HIGH', 'wrh-001');</v>
      </c>
    </row>
    <row r="27" spans="1:12" x14ac:dyDescent="0.25">
      <c r="A27" s="1" t="s">
        <v>4183</v>
      </c>
      <c r="B27" s="11">
        <f t="shared" ca="1" si="0"/>
        <v>43871</v>
      </c>
      <c r="C27" s="11" t="str">
        <f ca="1">r_choice(Customers!$A$2:$A$301)</f>
        <v>cust-094</v>
      </c>
      <c r="D27" s="3" t="str">
        <f t="shared" ca="1" si="1"/>
        <v>Prod-028</v>
      </c>
      <c r="E27" t="str">
        <f t="shared" ca="1" si="2"/>
        <v>MEDIUM</v>
      </c>
      <c r="F27" t="str">
        <f ca="1">r_choice(Warehouses!$A$2:$A$6)</f>
        <v>wrh-004</v>
      </c>
      <c r="K27" t="str">
        <f t="shared" ca="1" si="3"/>
        <v>insert into Online_orders values ('Ord-020', '12-Nov-2020', 'cust-003', 'Prod-028', 'HIGH', 'wrh-004');</v>
      </c>
    </row>
    <row r="28" spans="1:12" x14ac:dyDescent="0.25">
      <c r="A28" s="1" t="s">
        <v>4184</v>
      </c>
      <c r="B28" s="11">
        <f t="shared" ca="1" si="0"/>
        <v>44138</v>
      </c>
      <c r="C28" s="11" t="str">
        <f ca="1">r_choice(Customers!$A$2:$A$301)</f>
        <v>cust-158</v>
      </c>
      <c r="D28" s="3" t="str">
        <f t="shared" ca="1" si="1"/>
        <v>Prod-012</v>
      </c>
      <c r="E28" t="str">
        <f t="shared" ca="1" si="2"/>
        <v>HIGH</v>
      </c>
      <c r="F28" t="str">
        <f ca="1">r_choice(Warehouses!$A$2:$A$6)</f>
        <v>wrh-005</v>
      </c>
      <c r="K28" t="str">
        <f t="shared" ca="1" si="3"/>
        <v>insert into Online_orders values ('Ord-021', '26-Apr-2020', 'cust-054', 'Prod-019', 'LOW', 'wrh-002');</v>
      </c>
    </row>
    <row r="29" spans="1:12" x14ac:dyDescent="0.25">
      <c r="A29" s="1" t="s">
        <v>4185</v>
      </c>
      <c r="B29" s="11">
        <f t="shared" ca="1" si="0"/>
        <v>43885</v>
      </c>
      <c r="C29" s="11" t="str">
        <f ca="1">r_choice(Customers!$A$2:$A$301)</f>
        <v>cust-054</v>
      </c>
      <c r="D29" s="3" t="str">
        <f t="shared" ca="1" si="1"/>
        <v>Prod-008</v>
      </c>
      <c r="E29" t="str">
        <f t="shared" ca="1" si="2"/>
        <v>HIGH</v>
      </c>
      <c r="F29" t="str">
        <f ca="1">r_choice(Warehouses!$A$2:$A$6)</f>
        <v>wrh-002</v>
      </c>
      <c r="K29" t="str">
        <f t="shared" ca="1" si="3"/>
        <v>insert into Online_orders values ('Ord-022', '02-Jul-2020', 'cust-193', 'Prod-020', 'HIGH', 'wrh-003');</v>
      </c>
    </row>
    <row r="30" spans="1:12" x14ac:dyDescent="0.25">
      <c r="A30" s="1" t="s">
        <v>4186</v>
      </c>
      <c r="B30" s="11">
        <f t="shared" ca="1" si="0"/>
        <v>44123</v>
      </c>
      <c r="C30" s="11" t="str">
        <f ca="1">r_choice(Customers!$A$2:$A$301)</f>
        <v>cust-273</v>
      </c>
      <c r="D30" s="3" t="str">
        <f t="shared" ca="1" si="1"/>
        <v>Prod-021</v>
      </c>
      <c r="E30" t="str">
        <f t="shared" ca="1" si="2"/>
        <v>LOW</v>
      </c>
      <c r="F30" t="str">
        <f ca="1">r_choice(Warehouses!$A$2:$A$6)</f>
        <v>wrh-002</v>
      </c>
      <c r="K30" t="str">
        <f t="shared" ca="1" si="3"/>
        <v>insert into Online_orders values ('Ord-023', '15-Aug-2020', 'cust-265', 'Prod-018', 'HIGH', 'wrh-005');</v>
      </c>
    </row>
    <row r="31" spans="1:12" x14ac:dyDescent="0.25">
      <c r="A31" s="1" t="s">
        <v>4187</v>
      </c>
      <c r="B31" s="11">
        <f t="shared" ca="1" si="0"/>
        <v>43997</v>
      </c>
      <c r="C31" s="11" t="str">
        <f ca="1">r_choice(Customers!$A$2:$A$301)</f>
        <v>cust-029</v>
      </c>
      <c r="D31" s="3" t="str">
        <f t="shared" ca="1" si="1"/>
        <v>Prod-020</v>
      </c>
      <c r="E31" t="str">
        <f t="shared" ca="1" si="2"/>
        <v>LOW</v>
      </c>
      <c r="F31" t="str">
        <f ca="1">r_choice(Warehouses!$A$2:$A$6)</f>
        <v>wrh-004</v>
      </c>
      <c r="K31" t="str">
        <f t="shared" ca="1" si="3"/>
        <v>insert into Online_orders values ('Ord-024', '11-Apr-2020', 'cust-173', 'Prod-002', 'LOW', 'wrh-002');</v>
      </c>
    </row>
    <row r="32" spans="1:12" x14ac:dyDescent="0.25">
      <c r="A32" s="1" t="s">
        <v>4188</v>
      </c>
      <c r="B32" s="11">
        <f t="shared" ca="1" si="0"/>
        <v>44094</v>
      </c>
      <c r="C32" s="11" t="str">
        <f ca="1">r_choice(Customers!$A$2:$A$301)</f>
        <v>cust-298</v>
      </c>
      <c r="D32" s="3" t="str">
        <f t="shared" ca="1" si="1"/>
        <v>Prod-012</v>
      </c>
      <c r="E32" t="str">
        <f t="shared" ca="1" si="2"/>
        <v>MEDIUM</v>
      </c>
      <c r="F32" t="str">
        <f ca="1">r_choice(Warehouses!$A$2:$A$6)</f>
        <v>wrh-004</v>
      </c>
      <c r="K32" t="str">
        <f t="shared" ca="1" si="3"/>
        <v>insert into Online_orders values ('Ord-025', '05-Mar-2020', 'cust-104', 'Prod-007', 'LOW', 'wrh-002');</v>
      </c>
    </row>
    <row r="33" spans="1:11" x14ac:dyDescent="0.25">
      <c r="A33" s="1" t="s">
        <v>4189</v>
      </c>
      <c r="B33" s="11">
        <f t="shared" ca="1" si="0"/>
        <v>43849</v>
      </c>
      <c r="C33" s="11" t="str">
        <f ca="1">r_choice(Customers!$A$2:$A$301)</f>
        <v>cust-006</v>
      </c>
      <c r="D33" s="3" t="str">
        <f t="shared" ca="1" si="1"/>
        <v>Prod-026</v>
      </c>
      <c r="E33" t="str">
        <f t="shared" ca="1" si="2"/>
        <v>HIGH</v>
      </c>
      <c r="F33" t="str">
        <f ca="1">r_choice(Warehouses!$A$2:$A$6)</f>
        <v>wrh-001</v>
      </c>
      <c r="K33" t="str">
        <f t="shared" ca="1" si="3"/>
        <v>insert into Online_orders values ('Ord-026', '10-Feb-2020', 'cust-094', 'Prod-028', 'MEDIUM', 'wrh-004');</v>
      </c>
    </row>
    <row r="34" spans="1:11" x14ac:dyDescent="0.25">
      <c r="A34" s="1" t="s">
        <v>4190</v>
      </c>
      <c r="B34" s="11">
        <f t="shared" ca="1" si="0"/>
        <v>43927</v>
      </c>
      <c r="C34" s="11" t="str">
        <f ca="1">r_choice(Customers!$A$2:$A$301)</f>
        <v>cust-067</v>
      </c>
      <c r="D34" s="3" t="str">
        <f t="shared" ca="1" si="1"/>
        <v>Prod-025</v>
      </c>
      <c r="E34" t="str">
        <f t="shared" ca="1" si="2"/>
        <v>MEDIUM</v>
      </c>
      <c r="F34" t="str">
        <f ca="1">r_choice(Warehouses!$A$2:$A$6)</f>
        <v>wrh-003</v>
      </c>
      <c r="K34" t="str">
        <f t="shared" ca="1" si="3"/>
        <v>insert into Online_orders values ('Ord-027', '03-Nov-2020', 'cust-158', 'Prod-012', 'HIGH', 'wrh-005');</v>
      </c>
    </row>
    <row r="35" spans="1:11" x14ac:dyDescent="0.25">
      <c r="A35" s="1" t="s">
        <v>4191</v>
      </c>
      <c r="B35" s="11">
        <f t="shared" ca="1" si="0"/>
        <v>44009</v>
      </c>
      <c r="C35" s="11" t="str">
        <f ca="1">r_choice(Customers!$A$2:$A$301)</f>
        <v>cust-276</v>
      </c>
      <c r="D35" s="3" t="str">
        <f t="shared" ca="1" si="1"/>
        <v>Prod-010</v>
      </c>
      <c r="E35" t="str">
        <f t="shared" ca="1" si="2"/>
        <v>MEDIUM</v>
      </c>
      <c r="F35" t="str">
        <f ca="1">r_choice(Warehouses!$A$2:$A$6)</f>
        <v>wrh-005</v>
      </c>
      <c r="K35" t="str">
        <f t="shared" ca="1" si="3"/>
        <v>insert into Online_orders values ('Ord-028', '24-Feb-2020', 'cust-054', 'Prod-008', 'HIGH', 'wrh-002');</v>
      </c>
    </row>
    <row r="36" spans="1:11" x14ac:dyDescent="0.25">
      <c r="A36" s="1" t="s">
        <v>4192</v>
      </c>
      <c r="B36" s="11">
        <f t="shared" ca="1" si="0"/>
        <v>44002</v>
      </c>
      <c r="C36" s="11" t="str">
        <f ca="1">r_choice(Customers!$A$2:$A$301)</f>
        <v>cust-121</v>
      </c>
      <c r="D36" s="3" t="str">
        <f t="shared" ca="1" si="1"/>
        <v>Prod-027</v>
      </c>
      <c r="E36" t="str">
        <f t="shared" ca="1" si="2"/>
        <v>MEDIUM</v>
      </c>
      <c r="F36" t="str">
        <f ca="1">r_choice(Warehouses!$A$2:$A$6)</f>
        <v>wrh-005</v>
      </c>
      <c r="K36" t="str">
        <f t="shared" ca="1" si="3"/>
        <v>insert into Online_orders values ('Ord-029', '19-Oct-2020', 'cust-273', 'Prod-021', 'LOW', 'wrh-002');</v>
      </c>
    </row>
    <row r="37" spans="1:11" x14ac:dyDescent="0.25">
      <c r="A37" s="1" t="s">
        <v>4193</v>
      </c>
      <c r="B37" s="11">
        <f t="shared" ca="1" si="0"/>
        <v>44053</v>
      </c>
      <c r="C37" s="11" t="str">
        <f ca="1">r_choice(Customers!$A$2:$A$301)</f>
        <v>cust-264</v>
      </c>
      <c r="D37" s="3" t="str">
        <f t="shared" ca="1" si="1"/>
        <v>Prod-021</v>
      </c>
      <c r="E37" t="str">
        <f t="shared" ca="1" si="2"/>
        <v>LOW</v>
      </c>
      <c r="F37" t="str">
        <f ca="1">r_choice(Warehouses!$A$2:$A$6)</f>
        <v>wrh-001</v>
      </c>
      <c r="K37" t="str">
        <f t="shared" ca="1" si="3"/>
        <v>insert into Online_orders values ('Ord-030', '15-Jun-2020', 'cust-029', 'Prod-020', 'LOW', 'wrh-004');</v>
      </c>
    </row>
    <row r="38" spans="1:11" x14ac:dyDescent="0.25">
      <c r="A38" s="1" t="s">
        <v>4194</v>
      </c>
      <c r="B38" s="11">
        <f t="shared" ca="1" si="0"/>
        <v>44038</v>
      </c>
      <c r="C38" s="11" t="str">
        <f ca="1">r_choice(Customers!$A$2:$A$301)</f>
        <v>cust-045</v>
      </c>
      <c r="D38" s="3" t="str">
        <f t="shared" ca="1" si="1"/>
        <v>Prod-011</v>
      </c>
      <c r="E38" t="str">
        <f t="shared" ca="1" si="2"/>
        <v>MEDIUM</v>
      </c>
      <c r="F38" t="str">
        <f ca="1">r_choice(Warehouses!$A$2:$A$6)</f>
        <v>wrh-001</v>
      </c>
      <c r="K38" t="str">
        <f t="shared" ca="1" si="3"/>
        <v>insert into Online_orders values ('Ord-031', '20-Sep-2020', 'cust-298', 'Prod-012', 'MEDIUM', 'wrh-004');</v>
      </c>
    </row>
    <row r="39" spans="1:11" x14ac:dyDescent="0.25">
      <c r="A39" s="1" t="s">
        <v>4195</v>
      </c>
      <c r="B39" s="11">
        <f t="shared" ca="1" si="0"/>
        <v>43965</v>
      </c>
      <c r="C39" s="11" t="str">
        <f ca="1">r_choice(Customers!$A$2:$A$301)</f>
        <v>cust-264</v>
      </c>
      <c r="D39" s="3" t="str">
        <f t="shared" ca="1" si="1"/>
        <v>Prod-011</v>
      </c>
      <c r="E39" t="str">
        <f t="shared" ca="1" si="2"/>
        <v>MEDIUM</v>
      </c>
      <c r="F39" t="str">
        <f ca="1">r_choice(Warehouses!$A$2:$A$6)</f>
        <v>wrh-005</v>
      </c>
      <c r="K39" t="str">
        <f t="shared" ca="1" si="3"/>
        <v>insert into Online_orders values ('Ord-032', '19-Jan-2020', 'cust-006', 'Prod-026', 'HIGH', 'wrh-001');</v>
      </c>
    </row>
    <row r="40" spans="1:11" x14ac:dyDescent="0.25">
      <c r="A40" s="1" t="s">
        <v>4196</v>
      </c>
      <c r="B40" s="11">
        <f t="shared" ca="1" si="0"/>
        <v>43846</v>
      </c>
      <c r="C40" s="11" t="str">
        <f ca="1">r_choice(Customers!$A$2:$A$301)</f>
        <v>cust-133</v>
      </c>
      <c r="D40" s="3" t="str">
        <f t="shared" ca="1" si="1"/>
        <v>Prod-037</v>
      </c>
      <c r="E40" t="str">
        <f t="shared" ca="1" si="2"/>
        <v>LOW</v>
      </c>
      <c r="F40" t="str">
        <f ca="1">r_choice(Warehouses!$A$2:$A$6)</f>
        <v>wrh-003</v>
      </c>
      <c r="K40" t="str">
        <f t="shared" ref="K40:K71" ca="1" si="4">insertinto(A34:F34,$K$1:$L$6,"Online_orders")</f>
        <v>insert into Online_orders values ('Ord-033', '06-Apr-2020', 'cust-067', 'Prod-025', 'MEDIUM', 'wrh-003');</v>
      </c>
    </row>
    <row r="41" spans="1:11" x14ac:dyDescent="0.25">
      <c r="A41" s="1" t="s">
        <v>4197</v>
      </c>
      <c r="B41" s="11">
        <f t="shared" ca="1" si="0"/>
        <v>43940</v>
      </c>
      <c r="C41" s="11" t="str">
        <f ca="1">r_choice(Customers!$A$2:$A$301)</f>
        <v>cust-120</v>
      </c>
      <c r="D41" s="3" t="str">
        <f t="shared" ca="1" si="1"/>
        <v>Prod-011</v>
      </c>
      <c r="E41" t="str">
        <f t="shared" ca="1" si="2"/>
        <v>LOW</v>
      </c>
      <c r="F41" t="str">
        <f ca="1">r_choice(Warehouses!$A$2:$A$6)</f>
        <v>wrh-003</v>
      </c>
      <c r="K41" t="str">
        <f t="shared" ca="1" si="4"/>
        <v>insert into Online_orders values ('Ord-034', '27-Jun-2020', 'cust-276', 'Prod-010', 'MEDIUM', 'wrh-005');</v>
      </c>
    </row>
    <row r="42" spans="1:11" x14ac:dyDescent="0.25">
      <c r="A42" s="1" t="s">
        <v>4198</v>
      </c>
      <c r="B42" s="11">
        <f t="shared" ca="1" si="0"/>
        <v>44054</v>
      </c>
      <c r="C42" s="11" t="str">
        <f ca="1">r_choice(Customers!$A$2:$A$301)</f>
        <v>cust-061</v>
      </c>
      <c r="D42" s="3" t="str">
        <f t="shared" ca="1" si="1"/>
        <v>Prod-019</v>
      </c>
      <c r="E42" t="str">
        <f t="shared" ca="1" si="2"/>
        <v>MEDIUM</v>
      </c>
      <c r="F42" t="str">
        <f ca="1">r_choice(Warehouses!$A$2:$A$6)</f>
        <v>wrh-001</v>
      </c>
      <c r="K42" t="str">
        <f t="shared" ca="1" si="4"/>
        <v>insert into Online_orders values ('Ord-035', '20-Jun-2020', 'cust-121', 'Prod-027', 'MEDIUM', 'wrh-005');</v>
      </c>
    </row>
    <row r="43" spans="1:11" x14ac:dyDescent="0.25">
      <c r="A43" s="1" t="s">
        <v>4199</v>
      </c>
      <c r="B43" s="11">
        <f t="shared" ca="1" si="0"/>
        <v>43849</v>
      </c>
      <c r="C43" s="11" t="str">
        <f ca="1">r_choice(Customers!$A$2:$A$301)</f>
        <v>cust-002</v>
      </c>
      <c r="D43" s="3" t="str">
        <f t="shared" ca="1" si="1"/>
        <v>Prod-040</v>
      </c>
      <c r="E43" t="str">
        <f t="shared" ca="1" si="2"/>
        <v>HIGH</v>
      </c>
      <c r="F43" t="str">
        <f ca="1">r_choice(Warehouses!$A$2:$A$6)</f>
        <v>wrh-003</v>
      </c>
      <c r="K43" t="str">
        <f t="shared" ca="1" si="4"/>
        <v>insert into Online_orders values ('Ord-036', '10-Aug-2020', 'cust-264', 'Prod-021', 'LOW', 'wrh-001');</v>
      </c>
    </row>
    <row r="44" spans="1:11" x14ac:dyDescent="0.25">
      <c r="A44" s="1" t="s">
        <v>4200</v>
      </c>
      <c r="B44" s="11">
        <f t="shared" ca="1" si="0"/>
        <v>44090</v>
      </c>
      <c r="C44" s="11" t="str">
        <f ca="1">r_choice(Customers!$A$2:$A$301)</f>
        <v>cust-214</v>
      </c>
      <c r="D44" s="3" t="str">
        <f t="shared" ca="1" si="1"/>
        <v>Prod-040</v>
      </c>
      <c r="E44" t="str">
        <f t="shared" ca="1" si="2"/>
        <v>LOW</v>
      </c>
      <c r="F44" t="str">
        <f ca="1">r_choice(Warehouses!$A$2:$A$6)</f>
        <v>wrh-002</v>
      </c>
      <c r="K44" t="str">
        <f t="shared" ca="1" si="4"/>
        <v>insert into Online_orders values ('Ord-037', '26-Jul-2020', 'cust-045', 'Prod-011', 'MEDIUM', 'wrh-001');</v>
      </c>
    </row>
    <row r="45" spans="1:11" x14ac:dyDescent="0.25">
      <c r="A45" s="1" t="s">
        <v>4201</v>
      </c>
      <c r="B45" s="11">
        <f t="shared" ca="1" si="0"/>
        <v>43864</v>
      </c>
      <c r="C45" s="11" t="str">
        <f ca="1">r_choice(Customers!$A$2:$A$301)</f>
        <v>cust-251</v>
      </c>
      <c r="D45" s="3" t="str">
        <f t="shared" ca="1" si="1"/>
        <v>Prod-013</v>
      </c>
      <c r="E45" t="str">
        <f t="shared" ca="1" si="2"/>
        <v>LOW</v>
      </c>
      <c r="F45" t="str">
        <f ca="1">r_choice(Warehouses!$A$2:$A$6)</f>
        <v>wrh-004</v>
      </c>
      <c r="K45" t="str">
        <f t="shared" ca="1" si="4"/>
        <v>insert into Online_orders values ('Ord-038', '14-May-2020', 'cust-264', 'Prod-011', 'MEDIUM', 'wrh-005');</v>
      </c>
    </row>
    <row r="46" spans="1:11" x14ac:dyDescent="0.25">
      <c r="A46" s="1" t="s">
        <v>4202</v>
      </c>
      <c r="B46" s="11">
        <f t="shared" ca="1" si="0"/>
        <v>43940</v>
      </c>
      <c r="C46" s="11" t="str">
        <f ca="1">r_choice(Customers!$A$2:$A$301)</f>
        <v>cust-044</v>
      </c>
      <c r="D46" s="3" t="str">
        <f t="shared" ca="1" si="1"/>
        <v>Prod-004</v>
      </c>
      <c r="E46" t="str">
        <f t="shared" ca="1" si="2"/>
        <v>HIGH</v>
      </c>
      <c r="F46" t="str">
        <f ca="1">r_choice(Warehouses!$A$2:$A$6)</f>
        <v>wrh-002</v>
      </c>
      <c r="K46" t="str">
        <f t="shared" ca="1" si="4"/>
        <v>insert into Online_orders values ('Ord-039', '16-Jan-2020', 'cust-133', 'Prod-037', 'LOW', 'wrh-003');</v>
      </c>
    </row>
    <row r="47" spans="1:11" x14ac:dyDescent="0.25">
      <c r="A47" s="1" t="s">
        <v>4203</v>
      </c>
      <c r="B47" s="11">
        <f t="shared" ca="1" si="0"/>
        <v>44070</v>
      </c>
      <c r="C47" s="11" t="str">
        <f ca="1">r_choice(Customers!$A$2:$A$301)</f>
        <v>cust-300</v>
      </c>
      <c r="D47" s="3" t="str">
        <f t="shared" ca="1" si="1"/>
        <v>Prod-015</v>
      </c>
      <c r="E47" t="str">
        <f t="shared" ca="1" si="2"/>
        <v>MEDIUM</v>
      </c>
      <c r="F47" t="str">
        <f ca="1">r_choice(Warehouses!$A$2:$A$6)</f>
        <v>wrh-003</v>
      </c>
      <c r="K47" t="str">
        <f t="shared" ca="1" si="4"/>
        <v>insert into Online_orders values ('Ord-040', '19-Apr-2020', 'cust-120', 'Prod-011', 'LOW', 'wrh-003');</v>
      </c>
    </row>
    <row r="48" spans="1:11" x14ac:dyDescent="0.25">
      <c r="A48" s="1" t="s">
        <v>4204</v>
      </c>
      <c r="B48" s="11">
        <f t="shared" ca="1" si="0"/>
        <v>44140</v>
      </c>
      <c r="C48" s="11" t="str">
        <f ca="1">r_choice(Customers!$A$2:$A$301)</f>
        <v>cust-045</v>
      </c>
      <c r="D48" s="3" t="str">
        <f t="shared" ca="1" si="1"/>
        <v>Prod-021</v>
      </c>
      <c r="E48" t="str">
        <f t="shared" ca="1" si="2"/>
        <v>MEDIUM</v>
      </c>
      <c r="F48" t="str">
        <f ca="1">r_choice(Warehouses!$A$2:$A$6)</f>
        <v>wrh-004</v>
      </c>
      <c r="K48" t="str">
        <f t="shared" ca="1" si="4"/>
        <v>insert into Online_orders values ('Ord-041', '11-Aug-2020', 'cust-061', 'Prod-019', 'MEDIUM', 'wrh-001');</v>
      </c>
    </row>
    <row r="49" spans="1:11" x14ac:dyDescent="0.25">
      <c r="A49" s="1" t="s">
        <v>4205</v>
      </c>
      <c r="B49" s="11">
        <f t="shared" ca="1" si="0"/>
        <v>44069</v>
      </c>
      <c r="C49" s="11" t="str">
        <f ca="1">r_choice(Customers!$A$2:$A$301)</f>
        <v>cust-106</v>
      </c>
      <c r="D49" s="3" t="str">
        <f t="shared" ca="1" si="1"/>
        <v>Prod-013</v>
      </c>
      <c r="E49" t="str">
        <f t="shared" ca="1" si="2"/>
        <v>MEDIUM</v>
      </c>
      <c r="F49" t="str">
        <f ca="1">r_choice(Warehouses!$A$2:$A$6)</f>
        <v>wrh-003</v>
      </c>
      <c r="K49" t="str">
        <f t="shared" ca="1" si="4"/>
        <v>insert into Online_orders values ('Ord-042', '19-Jan-2020', 'cust-002', 'Prod-040', 'HIGH', 'wrh-003');</v>
      </c>
    </row>
    <row r="50" spans="1:11" x14ac:dyDescent="0.25">
      <c r="A50" s="1" t="s">
        <v>4206</v>
      </c>
      <c r="B50" s="11">
        <f t="shared" ca="1" si="0"/>
        <v>43980</v>
      </c>
      <c r="C50" s="11" t="str">
        <f ca="1">r_choice(Customers!$A$2:$A$301)</f>
        <v>cust-284</v>
      </c>
      <c r="D50" s="3" t="str">
        <f t="shared" ca="1" si="1"/>
        <v>Prod-034</v>
      </c>
      <c r="E50" t="str">
        <f t="shared" ca="1" si="2"/>
        <v>MEDIUM</v>
      </c>
      <c r="F50" t="str">
        <f ca="1">r_choice(Warehouses!$A$2:$A$6)</f>
        <v>wrh-003</v>
      </c>
      <c r="K50" t="str">
        <f t="shared" ca="1" si="4"/>
        <v>insert into Online_orders values ('Ord-043', '16-Sep-2020', 'cust-214', 'Prod-040', 'LOW', 'wrh-002');</v>
      </c>
    </row>
    <row r="51" spans="1:11" x14ac:dyDescent="0.25">
      <c r="A51" s="1" t="s">
        <v>4207</v>
      </c>
      <c r="B51" s="11">
        <f t="shared" ca="1" si="0"/>
        <v>43963</v>
      </c>
      <c r="C51" s="11" t="str">
        <f ca="1">r_choice(Customers!$A$2:$A$301)</f>
        <v>cust-257</v>
      </c>
      <c r="D51" s="3" t="str">
        <f t="shared" ca="1" si="1"/>
        <v>Prod-016</v>
      </c>
      <c r="E51" t="str">
        <f t="shared" ca="1" si="2"/>
        <v>HIGH</v>
      </c>
      <c r="F51" t="str">
        <f ca="1">r_choice(Warehouses!$A$2:$A$6)</f>
        <v>wrh-001</v>
      </c>
      <c r="K51" t="str">
        <f t="shared" ca="1" si="4"/>
        <v>insert into Online_orders values ('Ord-044', '03-Feb-2020', 'cust-251', 'Prod-013', 'LOW', 'wrh-004');</v>
      </c>
    </row>
    <row r="52" spans="1:11" x14ac:dyDescent="0.25">
      <c r="A52" s="1" t="s">
        <v>4253</v>
      </c>
      <c r="B52" s="11">
        <f t="shared" ca="1" si="0"/>
        <v>43836</v>
      </c>
      <c r="C52" s="11" t="str">
        <f ca="1">r_choice(Customers!$A$2:$A$301)</f>
        <v>cust-186</v>
      </c>
      <c r="D52" s="3" t="str">
        <f t="shared" ca="1" si="1"/>
        <v>Prod-019</v>
      </c>
      <c r="E52" t="str">
        <f t="shared" ca="1" si="2"/>
        <v>HIGH</v>
      </c>
      <c r="F52" t="str">
        <f ca="1">r_choice(Warehouses!$A$2:$A$6)</f>
        <v>wrh-005</v>
      </c>
      <c r="K52" t="str">
        <f t="shared" ca="1" si="4"/>
        <v>insert into Online_orders values ('Ord-045', '19-Apr-2020', 'cust-044', 'Prod-004', 'HIGH', 'wrh-002');</v>
      </c>
    </row>
    <row r="53" spans="1:11" x14ac:dyDescent="0.25">
      <c r="A53" s="1" t="s">
        <v>4254</v>
      </c>
      <c r="B53" s="11">
        <f t="shared" ca="1" si="0"/>
        <v>43909</v>
      </c>
      <c r="C53" s="11" t="str">
        <f ca="1">r_choice(Customers!$A$2:$A$301)</f>
        <v>cust-178</v>
      </c>
      <c r="D53" s="3" t="str">
        <f t="shared" ca="1" si="1"/>
        <v>Prod-039</v>
      </c>
      <c r="E53" t="str">
        <f t="shared" ca="1" si="2"/>
        <v>LOW</v>
      </c>
      <c r="F53" t="str">
        <f ca="1">r_choice(Warehouses!$A$2:$A$6)</f>
        <v>wrh-002</v>
      </c>
      <c r="K53" t="str">
        <f t="shared" ca="1" si="4"/>
        <v>insert into Online_orders values ('Ord-046', '27-Aug-2020', 'cust-300', 'Prod-015', 'MEDIUM', 'wrh-003');</v>
      </c>
    </row>
    <row r="54" spans="1:11" x14ac:dyDescent="0.25">
      <c r="A54" s="1" t="s">
        <v>4255</v>
      </c>
      <c r="B54" s="11">
        <f t="shared" ca="1" si="0"/>
        <v>44127</v>
      </c>
      <c r="C54" s="11" t="str">
        <f ca="1">r_choice(Customers!$A$2:$A$301)</f>
        <v>cust-207</v>
      </c>
      <c r="D54" s="3" t="str">
        <f t="shared" ca="1" si="1"/>
        <v>Prod-026</v>
      </c>
      <c r="E54" t="str">
        <f t="shared" ca="1" si="2"/>
        <v>LOW</v>
      </c>
      <c r="F54" t="str">
        <f ca="1">r_choice(Warehouses!$A$2:$A$6)</f>
        <v>wrh-003</v>
      </c>
      <c r="K54" t="str">
        <f t="shared" ca="1" si="4"/>
        <v>insert into Online_orders values ('Ord-047', '05-Nov-2020', 'cust-045', 'Prod-021', 'MEDIUM', 'wrh-004');</v>
      </c>
    </row>
    <row r="55" spans="1:11" x14ac:dyDescent="0.25">
      <c r="A55" s="1" t="s">
        <v>4256</v>
      </c>
      <c r="B55" s="11">
        <f t="shared" ca="1" si="0"/>
        <v>44091</v>
      </c>
      <c r="C55" s="11" t="str">
        <f ca="1">r_choice(Customers!$A$2:$A$301)</f>
        <v>cust-159</v>
      </c>
      <c r="D55" s="3" t="str">
        <f t="shared" ca="1" si="1"/>
        <v>Prod-013</v>
      </c>
      <c r="E55" t="str">
        <f t="shared" ca="1" si="2"/>
        <v>MEDIUM</v>
      </c>
      <c r="F55" t="str">
        <f ca="1">r_choice(Warehouses!$A$2:$A$6)</f>
        <v>wrh-003</v>
      </c>
      <c r="K55" t="str">
        <f t="shared" ca="1" si="4"/>
        <v>insert into Online_orders values ('Ord-048', '26-Aug-2020', 'cust-106', 'Prod-013', 'MEDIUM', 'wrh-003');</v>
      </c>
    </row>
    <row r="56" spans="1:11" x14ac:dyDescent="0.25">
      <c r="A56" s="1" t="s">
        <v>4257</v>
      </c>
      <c r="B56" s="11">
        <f t="shared" ca="1" si="0"/>
        <v>43979</v>
      </c>
      <c r="C56" s="11" t="str">
        <f ca="1">r_choice(Customers!$A$2:$A$301)</f>
        <v>cust-050</v>
      </c>
      <c r="D56" s="3" t="str">
        <f t="shared" ca="1" si="1"/>
        <v>Prod-017</v>
      </c>
      <c r="E56" t="str">
        <f t="shared" ca="1" si="2"/>
        <v>HIGH</v>
      </c>
      <c r="F56" t="str">
        <f ca="1">r_choice(Warehouses!$A$2:$A$6)</f>
        <v>wrh-002</v>
      </c>
      <c r="K56" t="str">
        <f t="shared" ca="1" si="4"/>
        <v>insert into Online_orders values ('Ord-049', '29-May-2020', 'cust-284', 'Prod-034', 'MEDIUM', 'wrh-003');</v>
      </c>
    </row>
    <row r="57" spans="1:11" x14ac:dyDescent="0.25">
      <c r="A57" s="1" t="s">
        <v>4258</v>
      </c>
      <c r="B57" s="11">
        <f t="shared" ca="1" si="0"/>
        <v>44057</v>
      </c>
      <c r="C57" s="11" t="str">
        <f ca="1">r_choice(Customers!$A$2:$A$301)</f>
        <v>cust-080</v>
      </c>
      <c r="D57" s="3" t="str">
        <f t="shared" ca="1" si="1"/>
        <v>Prod-011</v>
      </c>
      <c r="E57" t="str">
        <f t="shared" ca="1" si="2"/>
        <v>LOW</v>
      </c>
      <c r="F57" t="str">
        <f ca="1">r_choice(Warehouses!$A$2:$A$6)</f>
        <v>wrh-002</v>
      </c>
      <c r="K57" t="str">
        <f t="shared" ca="1" si="4"/>
        <v>insert into Online_orders values ('Ord-050', '12-May-2020', 'cust-257', 'Prod-016', 'HIGH', 'wrh-001');</v>
      </c>
    </row>
    <row r="58" spans="1:11" x14ac:dyDescent="0.25">
      <c r="A58" s="1" t="s">
        <v>4259</v>
      </c>
      <c r="B58" s="11">
        <f t="shared" ca="1" si="0"/>
        <v>44128</v>
      </c>
      <c r="C58" s="11" t="str">
        <f ca="1">r_choice(Customers!$A$2:$A$301)</f>
        <v>cust-042</v>
      </c>
      <c r="D58" s="3" t="str">
        <f t="shared" ca="1" si="1"/>
        <v>Prod-012</v>
      </c>
      <c r="E58" t="str">
        <f t="shared" ca="1" si="2"/>
        <v>MEDIUM</v>
      </c>
      <c r="F58" t="str">
        <f ca="1">r_choice(Warehouses!$A$2:$A$6)</f>
        <v>wrh-005</v>
      </c>
      <c r="K58" t="str">
        <f t="shared" ca="1" si="4"/>
        <v>insert into Online_orders values ('Ord-051', '06-Jan-2020', 'cust-186', 'Prod-019', 'HIGH', 'wrh-005');</v>
      </c>
    </row>
    <row r="59" spans="1:11" x14ac:dyDescent="0.25">
      <c r="A59" s="1" t="s">
        <v>4260</v>
      </c>
      <c r="B59" s="11">
        <f t="shared" ca="1" si="0"/>
        <v>43833</v>
      </c>
      <c r="C59" s="11" t="str">
        <f ca="1">r_choice(Customers!$A$2:$A$301)</f>
        <v>cust-215</v>
      </c>
      <c r="D59" s="3" t="str">
        <f t="shared" ca="1" si="1"/>
        <v>Prod-012</v>
      </c>
      <c r="E59" t="str">
        <f t="shared" ca="1" si="2"/>
        <v>MEDIUM</v>
      </c>
      <c r="F59" t="str">
        <f ca="1">r_choice(Warehouses!$A$2:$A$6)</f>
        <v>wrh-001</v>
      </c>
      <c r="K59" t="str">
        <f t="shared" ca="1" si="4"/>
        <v>insert into Online_orders values ('Ord-052', '19-Mar-2020', 'cust-178', 'Prod-039', 'LOW', 'wrh-002');</v>
      </c>
    </row>
    <row r="60" spans="1:11" x14ac:dyDescent="0.25">
      <c r="A60" s="1" t="s">
        <v>4261</v>
      </c>
      <c r="B60" s="11">
        <f t="shared" ca="1" si="0"/>
        <v>43950</v>
      </c>
      <c r="C60" s="11" t="str">
        <f ca="1">r_choice(Customers!$A$2:$A$301)</f>
        <v>cust-169</v>
      </c>
      <c r="D60" s="3" t="str">
        <f t="shared" ca="1" si="1"/>
        <v>Prod-015</v>
      </c>
      <c r="E60" t="str">
        <f t="shared" ca="1" si="2"/>
        <v>MEDIUM</v>
      </c>
      <c r="F60" t="str">
        <f ca="1">r_choice(Warehouses!$A$2:$A$6)</f>
        <v>wrh-001</v>
      </c>
      <c r="K60" t="str">
        <f t="shared" ca="1" si="4"/>
        <v>insert into Online_orders values ('Ord-053', '23-Oct-2020', 'cust-207', 'Prod-026', 'LOW', 'wrh-003');</v>
      </c>
    </row>
    <row r="61" spans="1:11" x14ac:dyDescent="0.25">
      <c r="A61" s="1" t="s">
        <v>4262</v>
      </c>
      <c r="B61" s="11">
        <f t="shared" ca="1" si="0"/>
        <v>43948</v>
      </c>
      <c r="C61" s="11" t="str">
        <f ca="1">r_choice(Customers!$A$2:$A$301)</f>
        <v>cust-221</v>
      </c>
      <c r="D61" s="3" t="str">
        <f t="shared" ca="1" si="1"/>
        <v>Prod-006</v>
      </c>
      <c r="E61" t="str">
        <f t="shared" ca="1" si="2"/>
        <v>MEDIUM</v>
      </c>
      <c r="F61" t="str">
        <f ca="1">r_choice(Warehouses!$A$2:$A$6)</f>
        <v>wrh-004</v>
      </c>
      <c r="K61" t="str">
        <f t="shared" ca="1" si="4"/>
        <v>insert into Online_orders values ('Ord-054', '17-Sep-2020', 'cust-159', 'Prod-013', 'MEDIUM', 'wrh-003');</v>
      </c>
    </row>
    <row r="62" spans="1:11" x14ac:dyDescent="0.25">
      <c r="A62" s="1" t="s">
        <v>4263</v>
      </c>
      <c r="B62" s="11">
        <f t="shared" ca="1" si="0"/>
        <v>44085</v>
      </c>
      <c r="C62" s="11" t="str">
        <f ca="1">r_choice(Customers!$A$2:$A$301)</f>
        <v>cust-011</v>
      </c>
      <c r="D62" s="3" t="str">
        <f t="shared" ca="1" si="1"/>
        <v>Prod-024</v>
      </c>
      <c r="E62" t="str">
        <f t="shared" ca="1" si="2"/>
        <v>LOW</v>
      </c>
      <c r="F62" t="str">
        <f ca="1">r_choice(Warehouses!$A$2:$A$6)</f>
        <v>wrh-001</v>
      </c>
      <c r="K62" t="str">
        <f t="shared" ca="1" si="4"/>
        <v>insert into Online_orders values ('Ord-055', '28-May-2020', 'cust-050', 'Prod-017', 'HIGH', 'wrh-002');</v>
      </c>
    </row>
    <row r="63" spans="1:11" x14ac:dyDescent="0.25">
      <c r="A63" s="1" t="s">
        <v>4264</v>
      </c>
      <c r="B63" s="11">
        <f t="shared" ca="1" si="0"/>
        <v>44109</v>
      </c>
      <c r="C63" s="11" t="str">
        <f ca="1">r_choice(Customers!$A$2:$A$301)</f>
        <v>cust-128</v>
      </c>
      <c r="D63" s="3" t="str">
        <f t="shared" ca="1" si="1"/>
        <v>Prod-017</v>
      </c>
      <c r="E63" t="str">
        <f t="shared" ca="1" si="2"/>
        <v>MEDIUM</v>
      </c>
      <c r="F63" t="str">
        <f ca="1">r_choice(Warehouses!$A$2:$A$6)</f>
        <v>wrh-003</v>
      </c>
      <c r="K63" t="str">
        <f t="shared" ca="1" si="4"/>
        <v>insert into Online_orders values ('Ord-056', '14-Aug-2020', 'cust-080', 'Prod-011', 'LOW', 'wrh-002');</v>
      </c>
    </row>
    <row r="64" spans="1:11" x14ac:dyDescent="0.25">
      <c r="A64" s="1" t="s">
        <v>4265</v>
      </c>
      <c r="B64" s="11">
        <f t="shared" ca="1" si="0"/>
        <v>43933</v>
      </c>
      <c r="C64" s="11" t="str">
        <f ca="1">r_choice(Customers!$A$2:$A$301)</f>
        <v>cust-075</v>
      </c>
      <c r="D64" s="3" t="str">
        <f t="shared" ca="1" si="1"/>
        <v>Prod-018</v>
      </c>
      <c r="E64" t="str">
        <f t="shared" ca="1" si="2"/>
        <v>HIGH</v>
      </c>
      <c r="F64" t="str">
        <f ca="1">r_choice(Warehouses!$A$2:$A$6)</f>
        <v>wrh-005</v>
      </c>
      <c r="K64" t="str">
        <f t="shared" ca="1" si="4"/>
        <v>insert into Online_orders values ('Ord-057', '24-Oct-2020', 'cust-042', 'Prod-012', 'MEDIUM', 'wrh-005');</v>
      </c>
    </row>
    <row r="65" spans="1:11" x14ac:dyDescent="0.25">
      <c r="A65" s="1" t="s">
        <v>4266</v>
      </c>
      <c r="B65" s="11">
        <f t="shared" ca="1" si="0"/>
        <v>44057</v>
      </c>
      <c r="C65" s="11" t="str">
        <f ca="1">r_choice(Customers!$A$2:$A$301)</f>
        <v>cust-160</v>
      </c>
      <c r="D65" s="3" t="str">
        <f t="shared" ca="1" si="1"/>
        <v>Prod-019</v>
      </c>
      <c r="E65" t="str">
        <f t="shared" ca="1" si="2"/>
        <v>MEDIUM</v>
      </c>
      <c r="F65" t="str">
        <f ca="1">r_choice(Warehouses!$A$2:$A$6)</f>
        <v>wrh-004</v>
      </c>
      <c r="K65" t="str">
        <f t="shared" ca="1" si="4"/>
        <v>insert into Online_orders values ('Ord-058', '03-Jan-2020', 'cust-215', 'Prod-012', 'MEDIUM', 'wrh-001');</v>
      </c>
    </row>
    <row r="66" spans="1:11" x14ac:dyDescent="0.25">
      <c r="A66" s="1" t="s">
        <v>4267</v>
      </c>
      <c r="B66" s="11">
        <f t="shared" ca="1" si="0"/>
        <v>43915</v>
      </c>
      <c r="C66" s="11" t="str">
        <f ca="1">r_choice(Customers!$A$2:$A$301)</f>
        <v>cust-216</v>
      </c>
      <c r="D66" s="3" t="str">
        <f t="shared" ca="1" si="1"/>
        <v>Prod-022</v>
      </c>
      <c r="E66" t="str">
        <f t="shared" ca="1" si="2"/>
        <v>LOW</v>
      </c>
      <c r="F66" t="str">
        <f ca="1">r_choice(Warehouses!$A$2:$A$6)</f>
        <v>wrh-004</v>
      </c>
      <c r="K66" t="str">
        <f t="shared" ca="1" si="4"/>
        <v>insert into Online_orders values ('Ord-059', '29-Apr-2020', 'cust-169', 'Prod-015', 'MEDIUM', 'wrh-001');</v>
      </c>
    </row>
    <row r="67" spans="1:11" x14ac:dyDescent="0.25">
      <c r="A67" s="1" t="s">
        <v>4268</v>
      </c>
      <c r="B67" s="11">
        <f t="shared" ref="B67:B101" ca="1" si="5">r_date(2020,1,2020,12)</f>
        <v>43855</v>
      </c>
      <c r="C67" s="11" t="str">
        <f ca="1">r_choice(Customers!$A$2:$A$301)</f>
        <v>cust-152</v>
      </c>
      <c r="D67" s="3" t="str">
        <f t="shared" ref="D67:D101" ca="1" si="6">"Prod-"&amp; TEXT(r_integer(1,40),"000")</f>
        <v>Prod-027</v>
      </c>
      <c r="E67" t="str">
        <f t="shared" ref="E67:E101" ca="1" si="7">r_choice($I$13:$I$15)</f>
        <v>LOW</v>
      </c>
      <c r="F67" t="str">
        <f ca="1">r_choice(Warehouses!$A$2:$A$6)</f>
        <v>wrh-003</v>
      </c>
      <c r="K67" t="str">
        <f t="shared" ca="1" si="4"/>
        <v>insert into Online_orders values ('Ord-060', '27-Apr-2020', 'cust-221', 'Prod-006', 'MEDIUM', 'wrh-004');</v>
      </c>
    </row>
    <row r="68" spans="1:11" x14ac:dyDescent="0.25">
      <c r="A68" s="1" t="s">
        <v>4269</v>
      </c>
      <c r="B68" s="11">
        <f t="shared" ca="1" si="5"/>
        <v>44125</v>
      </c>
      <c r="C68" s="11" t="str">
        <f ca="1">r_choice(Customers!$A$2:$A$301)</f>
        <v>cust-073</v>
      </c>
      <c r="D68" s="3" t="str">
        <f t="shared" ca="1" si="6"/>
        <v>Prod-008</v>
      </c>
      <c r="E68" t="str">
        <f t="shared" ca="1" si="7"/>
        <v>HIGH</v>
      </c>
      <c r="F68" t="str">
        <f ca="1">r_choice(Warehouses!$A$2:$A$6)</f>
        <v>wrh-005</v>
      </c>
      <c r="K68" t="str">
        <f t="shared" ca="1" si="4"/>
        <v>insert into Online_orders values ('Ord-061', '11-Sep-2020', 'cust-011', 'Prod-024', 'LOW', 'wrh-001');</v>
      </c>
    </row>
    <row r="69" spans="1:11" x14ac:dyDescent="0.25">
      <c r="A69" s="1" t="s">
        <v>4270</v>
      </c>
      <c r="B69" s="11">
        <f t="shared" ca="1" si="5"/>
        <v>43881</v>
      </c>
      <c r="C69" s="11" t="str">
        <f ca="1">r_choice(Customers!$A$2:$A$301)</f>
        <v>cust-091</v>
      </c>
      <c r="D69" s="3" t="str">
        <f t="shared" ca="1" si="6"/>
        <v>Prod-040</v>
      </c>
      <c r="E69" t="str">
        <f t="shared" ca="1" si="7"/>
        <v>HIGH</v>
      </c>
      <c r="F69" t="str">
        <f ca="1">r_choice(Warehouses!$A$2:$A$6)</f>
        <v>wrh-003</v>
      </c>
      <c r="K69" t="str">
        <f t="shared" ca="1" si="4"/>
        <v>insert into Online_orders values ('Ord-062', '05-Oct-2020', 'cust-128', 'Prod-017', 'MEDIUM', 'wrh-003');</v>
      </c>
    </row>
    <row r="70" spans="1:11" x14ac:dyDescent="0.25">
      <c r="A70" s="1" t="s">
        <v>4271</v>
      </c>
      <c r="B70" s="11">
        <f t="shared" ca="1" si="5"/>
        <v>44168</v>
      </c>
      <c r="C70" s="11" t="str">
        <f ca="1">r_choice(Customers!$A$2:$A$301)</f>
        <v>cust-159</v>
      </c>
      <c r="D70" s="3" t="str">
        <f t="shared" ca="1" si="6"/>
        <v>Prod-023</v>
      </c>
      <c r="E70" t="str">
        <f t="shared" ca="1" si="7"/>
        <v>MEDIUM</v>
      </c>
      <c r="F70" t="str">
        <f ca="1">r_choice(Warehouses!$A$2:$A$6)</f>
        <v>wrh-003</v>
      </c>
      <c r="K70" t="str">
        <f t="shared" ca="1" si="4"/>
        <v>insert into Online_orders values ('Ord-063', '12-Apr-2020', 'cust-075', 'Prod-018', 'HIGH', 'wrh-005');</v>
      </c>
    </row>
    <row r="71" spans="1:11" x14ac:dyDescent="0.25">
      <c r="A71" s="1" t="s">
        <v>4272</v>
      </c>
      <c r="B71" s="11">
        <f t="shared" ca="1" si="5"/>
        <v>44016</v>
      </c>
      <c r="C71" s="11" t="str">
        <f ca="1">r_choice(Customers!$A$2:$A$301)</f>
        <v>cust-216</v>
      </c>
      <c r="D71" s="3" t="str">
        <f t="shared" ca="1" si="6"/>
        <v>Prod-015</v>
      </c>
      <c r="E71" t="str">
        <f t="shared" ca="1" si="7"/>
        <v>MEDIUM</v>
      </c>
      <c r="F71" t="str">
        <f ca="1">r_choice(Warehouses!$A$2:$A$6)</f>
        <v>wrh-003</v>
      </c>
      <c r="K71" t="str">
        <f t="shared" ca="1" si="4"/>
        <v>insert into Online_orders values ('Ord-064', '14-Aug-2020', 'cust-160', 'Prod-019', 'MEDIUM', 'wrh-004');</v>
      </c>
    </row>
    <row r="72" spans="1:11" x14ac:dyDescent="0.25">
      <c r="A72" s="1" t="s">
        <v>4273</v>
      </c>
      <c r="B72" s="11">
        <f t="shared" ca="1" si="5"/>
        <v>44087</v>
      </c>
      <c r="C72" s="11" t="str">
        <f ca="1">r_choice(Customers!$A$2:$A$301)</f>
        <v>cust-158</v>
      </c>
      <c r="D72" s="3" t="str">
        <f t="shared" ca="1" si="6"/>
        <v>Prod-006</v>
      </c>
      <c r="E72" t="str">
        <f t="shared" ca="1" si="7"/>
        <v>MEDIUM</v>
      </c>
      <c r="F72" t="str">
        <f ca="1">r_choice(Warehouses!$A$2:$A$6)</f>
        <v>wrh-005</v>
      </c>
      <c r="K72" t="str">
        <f t="shared" ref="K72:K103" ca="1" si="8">insertinto(A66:F66,$K$1:$L$6,"Online_orders")</f>
        <v>insert into Online_orders values ('Ord-065', '25-Mar-2020', 'cust-216', 'Prod-022', 'LOW', 'wrh-004');</v>
      </c>
    </row>
    <row r="73" spans="1:11" x14ac:dyDescent="0.25">
      <c r="A73" s="1" t="s">
        <v>4274</v>
      </c>
      <c r="B73" s="11">
        <f t="shared" ca="1" si="5"/>
        <v>43843</v>
      </c>
      <c r="C73" s="11" t="str">
        <f ca="1">r_choice(Customers!$A$2:$A$301)</f>
        <v>cust-287</v>
      </c>
      <c r="D73" s="3" t="str">
        <f t="shared" ca="1" si="6"/>
        <v>Prod-007</v>
      </c>
      <c r="E73" t="str">
        <f t="shared" ca="1" si="7"/>
        <v>HIGH</v>
      </c>
      <c r="F73" t="str">
        <f ca="1">r_choice(Warehouses!$A$2:$A$6)</f>
        <v>wrh-005</v>
      </c>
      <c r="K73" t="str">
        <f t="shared" ca="1" si="8"/>
        <v>insert into Online_orders values ('Ord-066', '25-Jan-2020', 'cust-152', 'Prod-027', 'LOW', 'wrh-003');</v>
      </c>
    </row>
    <row r="74" spans="1:11" x14ac:dyDescent="0.25">
      <c r="A74" s="1" t="s">
        <v>4275</v>
      </c>
      <c r="B74" s="11">
        <f t="shared" ca="1" si="5"/>
        <v>44006</v>
      </c>
      <c r="C74" s="11" t="str">
        <f ca="1">r_choice(Customers!$A$2:$A$301)</f>
        <v>cust-246</v>
      </c>
      <c r="D74" s="3" t="str">
        <f t="shared" ca="1" si="6"/>
        <v>Prod-003</v>
      </c>
      <c r="E74" t="str">
        <f t="shared" ca="1" si="7"/>
        <v>MEDIUM</v>
      </c>
      <c r="F74" t="str">
        <f ca="1">r_choice(Warehouses!$A$2:$A$6)</f>
        <v>wrh-002</v>
      </c>
      <c r="K74" t="str">
        <f t="shared" ca="1" si="8"/>
        <v>insert into Online_orders values ('Ord-067', '21-Oct-2020', 'cust-073', 'Prod-008', 'HIGH', 'wrh-005');</v>
      </c>
    </row>
    <row r="75" spans="1:11" x14ac:dyDescent="0.25">
      <c r="A75" s="1" t="s">
        <v>4276</v>
      </c>
      <c r="B75" s="11">
        <f t="shared" ca="1" si="5"/>
        <v>43876</v>
      </c>
      <c r="C75" s="11" t="str">
        <f ca="1">r_choice(Customers!$A$2:$A$301)</f>
        <v>cust-197</v>
      </c>
      <c r="D75" s="3" t="str">
        <f t="shared" ca="1" si="6"/>
        <v>Prod-040</v>
      </c>
      <c r="E75" t="str">
        <f t="shared" ca="1" si="7"/>
        <v>LOW</v>
      </c>
      <c r="F75" t="str">
        <f ca="1">r_choice(Warehouses!$A$2:$A$6)</f>
        <v>wrh-001</v>
      </c>
      <c r="K75" t="str">
        <f t="shared" ca="1" si="8"/>
        <v>insert into Online_orders values ('Ord-068', '20-Feb-2020', 'cust-091', 'Prod-040', 'HIGH', 'wrh-003');</v>
      </c>
    </row>
    <row r="76" spans="1:11" x14ac:dyDescent="0.25">
      <c r="A76" s="1" t="s">
        <v>4277</v>
      </c>
      <c r="B76" s="11">
        <f t="shared" ca="1" si="5"/>
        <v>43884</v>
      </c>
      <c r="C76" s="11" t="str">
        <f ca="1">r_choice(Customers!$A$2:$A$301)</f>
        <v>cust-038</v>
      </c>
      <c r="D76" s="3" t="str">
        <f t="shared" ca="1" si="6"/>
        <v>Prod-030</v>
      </c>
      <c r="E76" t="str">
        <f t="shared" ca="1" si="7"/>
        <v>MEDIUM</v>
      </c>
      <c r="F76" t="str">
        <f ca="1">r_choice(Warehouses!$A$2:$A$6)</f>
        <v>wrh-004</v>
      </c>
      <c r="K76" t="str">
        <f t="shared" ca="1" si="8"/>
        <v>insert into Online_orders values ('Ord-069', '03-Dec-2020', 'cust-159', 'Prod-023', 'MEDIUM', 'wrh-003');</v>
      </c>
    </row>
    <row r="77" spans="1:11" x14ac:dyDescent="0.25">
      <c r="A77" s="1" t="s">
        <v>4278</v>
      </c>
      <c r="B77" s="11">
        <f t="shared" ca="1" si="5"/>
        <v>43950</v>
      </c>
      <c r="C77" s="11" t="str">
        <f ca="1">r_choice(Customers!$A$2:$A$301)</f>
        <v>cust-082</v>
      </c>
      <c r="D77" s="3" t="str">
        <f t="shared" ca="1" si="6"/>
        <v>Prod-035</v>
      </c>
      <c r="E77" t="str">
        <f t="shared" ca="1" si="7"/>
        <v>MEDIUM</v>
      </c>
      <c r="F77" t="str">
        <f ca="1">r_choice(Warehouses!$A$2:$A$6)</f>
        <v>wrh-003</v>
      </c>
      <c r="K77" t="str">
        <f t="shared" ca="1" si="8"/>
        <v>insert into Online_orders values ('Ord-070', '04-Jul-2020', 'cust-216', 'Prod-015', 'MEDIUM', 'wrh-003');</v>
      </c>
    </row>
    <row r="78" spans="1:11" x14ac:dyDescent="0.25">
      <c r="A78" s="1" t="s">
        <v>4279</v>
      </c>
      <c r="B78" s="11">
        <f t="shared" ca="1" si="5"/>
        <v>44131</v>
      </c>
      <c r="C78" s="11" t="str">
        <f ca="1">r_choice(Customers!$A$2:$A$301)</f>
        <v>cust-191</v>
      </c>
      <c r="D78" s="3" t="str">
        <f t="shared" ca="1" si="6"/>
        <v>Prod-028</v>
      </c>
      <c r="E78" t="str">
        <f t="shared" ca="1" si="7"/>
        <v>LOW</v>
      </c>
      <c r="F78" t="str">
        <f ca="1">r_choice(Warehouses!$A$2:$A$6)</f>
        <v>wrh-005</v>
      </c>
      <c r="K78" t="str">
        <f t="shared" ca="1" si="8"/>
        <v>insert into Online_orders values ('Ord-071', '13-Sep-2020', 'cust-158', 'Prod-006', 'MEDIUM', 'wrh-005');</v>
      </c>
    </row>
    <row r="79" spans="1:11" x14ac:dyDescent="0.25">
      <c r="A79" s="1" t="s">
        <v>4280</v>
      </c>
      <c r="B79" s="11">
        <f t="shared" ca="1" si="5"/>
        <v>44155</v>
      </c>
      <c r="C79" s="11" t="str">
        <f ca="1">r_choice(Customers!$A$2:$A$301)</f>
        <v>cust-095</v>
      </c>
      <c r="D79" s="3" t="str">
        <f t="shared" ca="1" si="6"/>
        <v>Prod-015</v>
      </c>
      <c r="E79" t="str">
        <f t="shared" ca="1" si="7"/>
        <v>MEDIUM</v>
      </c>
      <c r="F79" t="str">
        <f ca="1">r_choice(Warehouses!$A$2:$A$6)</f>
        <v>wrh-004</v>
      </c>
      <c r="K79" t="str">
        <f t="shared" ca="1" si="8"/>
        <v>insert into Online_orders values ('Ord-072', '13-Jan-2020', 'cust-287', 'Prod-007', 'HIGH', 'wrh-005');</v>
      </c>
    </row>
    <row r="80" spans="1:11" x14ac:dyDescent="0.25">
      <c r="A80" s="1" t="s">
        <v>4281</v>
      </c>
      <c r="B80" s="11">
        <f t="shared" ca="1" si="5"/>
        <v>43954</v>
      </c>
      <c r="C80" s="11" t="str">
        <f ca="1">r_choice(Customers!$A$2:$A$301)</f>
        <v>cust-098</v>
      </c>
      <c r="D80" s="3" t="str">
        <f t="shared" ca="1" si="6"/>
        <v>Prod-022</v>
      </c>
      <c r="E80" t="str">
        <f t="shared" ca="1" si="7"/>
        <v>HIGH</v>
      </c>
      <c r="F80" t="str">
        <f ca="1">r_choice(Warehouses!$A$2:$A$6)</f>
        <v>wrh-001</v>
      </c>
      <c r="K80" t="str">
        <f t="shared" ca="1" si="8"/>
        <v>insert into Online_orders values ('Ord-073', '24-Jun-2020', 'cust-246', 'Prod-003', 'MEDIUM', 'wrh-002');</v>
      </c>
    </row>
    <row r="81" spans="1:11" x14ac:dyDescent="0.25">
      <c r="A81" s="1" t="s">
        <v>4282</v>
      </c>
      <c r="B81" s="11">
        <f t="shared" ca="1" si="5"/>
        <v>43843</v>
      </c>
      <c r="C81" s="11" t="str">
        <f ca="1">r_choice(Customers!$A$2:$A$301)</f>
        <v>cust-144</v>
      </c>
      <c r="D81" s="3" t="str">
        <f t="shared" ca="1" si="6"/>
        <v>Prod-026</v>
      </c>
      <c r="E81" t="str">
        <f t="shared" ca="1" si="7"/>
        <v>HIGH</v>
      </c>
      <c r="F81" t="str">
        <f ca="1">r_choice(Warehouses!$A$2:$A$6)</f>
        <v>wrh-001</v>
      </c>
      <c r="K81" t="str">
        <f t="shared" ca="1" si="8"/>
        <v>insert into Online_orders values ('Ord-074', '15-Feb-2020', 'cust-197', 'Prod-040', 'LOW', 'wrh-001');</v>
      </c>
    </row>
    <row r="82" spans="1:11" x14ac:dyDescent="0.25">
      <c r="A82" s="1" t="s">
        <v>4283</v>
      </c>
      <c r="B82" s="11">
        <f t="shared" ca="1" si="5"/>
        <v>43852</v>
      </c>
      <c r="C82" s="11" t="str">
        <f ca="1">r_choice(Customers!$A$2:$A$301)</f>
        <v>cust-299</v>
      </c>
      <c r="D82" s="3" t="str">
        <f t="shared" ca="1" si="6"/>
        <v>Prod-034</v>
      </c>
      <c r="E82" t="str">
        <f t="shared" ca="1" si="7"/>
        <v>HIGH</v>
      </c>
      <c r="F82" t="str">
        <f ca="1">r_choice(Warehouses!$A$2:$A$6)</f>
        <v>wrh-002</v>
      </c>
      <c r="K82" t="str">
        <f t="shared" ca="1" si="8"/>
        <v>insert into Online_orders values ('Ord-075', '23-Feb-2020', 'cust-038', 'Prod-030', 'MEDIUM', 'wrh-004');</v>
      </c>
    </row>
    <row r="83" spans="1:11" x14ac:dyDescent="0.25">
      <c r="A83" s="1" t="s">
        <v>4284</v>
      </c>
      <c r="B83" s="11">
        <f t="shared" ca="1" si="5"/>
        <v>43987</v>
      </c>
      <c r="C83" s="11" t="str">
        <f ca="1">r_choice(Customers!$A$2:$A$301)</f>
        <v>cust-185</v>
      </c>
      <c r="D83" s="3" t="str">
        <f t="shared" ca="1" si="6"/>
        <v>Prod-031</v>
      </c>
      <c r="E83" t="str">
        <f t="shared" ca="1" si="7"/>
        <v>LOW</v>
      </c>
      <c r="F83" t="str">
        <f ca="1">r_choice(Warehouses!$A$2:$A$6)</f>
        <v>wrh-002</v>
      </c>
      <c r="K83" t="str">
        <f t="shared" ca="1" si="8"/>
        <v>insert into Online_orders values ('Ord-076', '29-Apr-2020', 'cust-082', 'Prod-035', 'MEDIUM', 'wrh-003');</v>
      </c>
    </row>
    <row r="84" spans="1:11" x14ac:dyDescent="0.25">
      <c r="A84" s="1" t="s">
        <v>4285</v>
      </c>
      <c r="B84" s="11">
        <f t="shared" ca="1" si="5"/>
        <v>44161</v>
      </c>
      <c r="C84" s="11" t="str">
        <f ca="1">r_choice(Customers!$A$2:$A$301)</f>
        <v>cust-283</v>
      </c>
      <c r="D84" s="3" t="str">
        <f t="shared" ca="1" si="6"/>
        <v>Prod-040</v>
      </c>
      <c r="E84" t="str">
        <f t="shared" ca="1" si="7"/>
        <v>MEDIUM</v>
      </c>
      <c r="F84" t="str">
        <f ca="1">r_choice(Warehouses!$A$2:$A$6)</f>
        <v>wrh-002</v>
      </c>
      <c r="K84" t="str">
        <f t="shared" ca="1" si="8"/>
        <v>insert into Online_orders values ('Ord-077', '27-Oct-2020', 'cust-191', 'Prod-028', 'LOW', 'wrh-005');</v>
      </c>
    </row>
    <row r="85" spans="1:11" x14ac:dyDescent="0.25">
      <c r="A85" s="1" t="s">
        <v>4286</v>
      </c>
      <c r="B85" s="11">
        <f t="shared" ca="1" si="5"/>
        <v>44099</v>
      </c>
      <c r="C85" s="11" t="str">
        <f ca="1">r_choice(Customers!$A$2:$A$301)</f>
        <v>cust-254</v>
      </c>
      <c r="D85" s="3" t="str">
        <f t="shared" ca="1" si="6"/>
        <v>Prod-011</v>
      </c>
      <c r="E85" t="str">
        <f t="shared" ca="1" si="7"/>
        <v>LOW</v>
      </c>
      <c r="F85" t="str">
        <f ca="1">r_choice(Warehouses!$A$2:$A$6)</f>
        <v>wrh-005</v>
      </c>
      <c r="K85" t="str">
        <f t="shared" ca="1" si="8"/>
        <v>insert into Online_orders values ('Ord-078', '20-Nov-2020', 'cust-095', 'Prod-015', 'MEDIUM', 'wrh-004');</v>
      </c>
    </row>
    <row r="86" spans="1:11" x14ac:dyDescent="0.25">
      <c r="A86" s="1" t="s">
        <v>4287</v>
      </c>
      <c r="B86" s="11">
        <f t="shared" ca="1" si="5"/>
        <v>43954</v>
      </c>
      <c r="C86" s="11" t="str">
        <f ca="1">r_choice(Customers!$A$2:$A$301)</f>
        <v>cust-035</v>
      </c>
      <c r="D86" s="3" t="str">
        <f t="shared" ca="1" si="6"/>
        <v>Prod-016</v>
      </c>
      <c r="E86" t="str">
        <f t="shared" ca="1" si="7"/>
        <v>MEDIUM</v>
      </c>
      <c r="F86" t="str">
        <f ca="1">r_choice(Warehouses!$A$2:$A$6)</f>
        <v>wrh-001</v>
      </c>
      <c r="K86" t="str">
        <f t="shared" ca="1" si="8"/>
        <v>insert into Online_orders values ('Ord-079', '03-May-2020', 'cust-098', 'Prod-022', 'HIGH', 'wrh-001');</v>
      </c>
    </row>
    <row r="87" spans="1:11" x14ac:dyDescent="0.25">
      <c r="A87" s="1" t="s">
        <v>4288</v>
      </c>
      <c r="B87" s="11">
        <f t="shared" ca="1" si="5"/>
        <v>44073</v>
      </c>
      <c r="C87" s="11" t="str">
        <f ca="1">r_choice(Customers!$A$2:$A$301)</f>
        <v>cust-015</v>
      </c>
      <c r="D87" s="3" t="str">
        <f t="shared" ca="1" si="6"/>
        <v>Prod-007</v>
      </c>
      <c r="E87" t="str">
        <f t="shared" ca="1" si="7"/>
        <v>LOW</v>
      </c>
      <c r="F87" t="str">
        <f ca="1">r_choice(Warehouses!$A$2:$A$6)</f>
        <v>wrh-002</v>
      </c>
      <c r="K87" t="str">
        <f t="shared" ca="1" si="8"/>
        <v>insert into Online_orders values ('Ord-080', '13-Jan-2020', 'cust-144', 'Prod-026', 'HIGH', 'wrh-001');</v>
      </c>
    </row>
    <row r="88" spans="1:11" x14ac:dyDescent="0.25">
      <c r="A88" s="1" t="s">
        <v>4289</v>
      </c>
      <c r="B88" s="11">
        <f t="shared" ca="1" si="5"/>
        <v>44028</v>
      </c>
      <c r="C88" s="11" t="str">
        <f ca="1">r_choice(Customers!$A$2:$A$301)</f>
        <v>cust-071</v>
      </c>
      <c r="D88" s="3" t="str">
        <f t="shared" ca="1" si="6"/>
        <v>Prod-028</v>
      </c>
      <c r="E88" t="str">
        <f t="shared" ca="1" si="7"/>
        <v>LOW</v>
      </c>
      <c r="F88" t="str">
        <f ca="1">r_choice(Warehouses!$A$2:$A$6)</f>
        <v>wrh-002</v>
      </c>
      <c r="K88" t="str">
        <f t="shared" ca="1" si="8"/>
        <v>insert into Online_orders values ('Ord-081', '22-Jan-2020', 'cust-299', 'Prod-034', 'HIGH', 'wrh-002');</v>
      </c>
    </row>
    <row r="89" spans="1:11" x14ac:dyDescent="0.25">
      <c r="A89" s="1" t="s">
        <v>4290</v>
      </c>
      <c r="B89" s="11">
        <f t="shared" ca="1" si="5"/>
        <v>44127</v>
      </c>
      <c r="C89" s="11" t="str">
        <f ca="1">r_choice(Customers!$A$2:$A$301)</f>
        <v>cust-010</v>
      </c>
      <c r="D89" s="3" t="str">
        <f t="shared" ca="1" si="6"/>
        <v>Prod-035</v>
      </c>
      <c r="E89" t="str">
        <f t="shared" ca="1" si="7"/>
        <v>LOW</v>
      </c>
      <c r="F89" t="str">
        <f ca="1">r_choice(Warehouses!$A$2:$A$6)</f>
        <v>wrh-001</v>
      </c>
      <c r="K89" t="str">
        <f t="shared" ca="1" si="8"/>
        <v>insert into Online_orders values ('Ord-082', '05-Jun-2020', 'cust-185', 'Prod-031', 'LOW', 'wrh-002');</v>
      </c>
    </row>
    <row r="90" spans="1:11" x14ac:dyDescent="0.25">
      <c r="A90" s="1" t="s">
        <v>4291</v>
      </c>
      <c r="B90" s="11">
        <f t="shared" ca="1" si="5"/>
        <v>44153</v>
      </c>
      <c r="C90" s="11" t="str">
        <f ca="1">r_choice(Customers!$A$2:$A$301)</f>
        <v>cust-213</v>
      </c>
      <c r="D90" s="3" t="str">
        <f t="shared" ca="1" si="6"/>
        <v>Prod-016</v>
      </c>
      <c r="E90" t="str">
        <f t="shared" ca="1" si="7"/>
        <v>MEDIUM</v>
      </c>
      <c r="F90" t="str">
        <f ca="1">r_choice(Warehouses!$A$2:$A$6)</f>
        <v>wrh-001</v>
      </c>
      <c r="K90" t="str">
        <f t="shared" ca="1" si="8"/>
        <v>insert into Online_orders values ('Ord-083', '26-Nov-2020', 'cust-283', 'Prod-040', 'MEDIUM', 'wrh-002');</v>
      </c>
    </row>
    <row r="91" spans="1:11" x14ac:dyDescent="0.25">
      <c r="A91" s="1" t="s">
        <v>4292</v>
      </c>
      <c r="B91" s="11">
        <f t="shared" ca="1" si="5"/>
        <v>44045</v>
      </c>
      <c r="C91" s="11" t="str">
        <f ca="1">r_choice(Customers!$A$2:$A$301)</f>
        <v>cust-087</v>
      </c>
      <c r="D91" s="3" t="str">
        <f t="shared" ca="1" si="6"/>
        <v>Prod-015</v>
      </c>
      <c r="E91" t="str">
        <f t="shared" ca="1" si="7"/>
        <v>LOW</v>
      </c>
      <c r="F91" t="str">
        <f ca="1">r_choice(Warehouses!$A$2:$A$6)</f>
        <v>wrh-002</v>
      </c>
      <c r="K91" t="str">
        <f t="shared" ca="1" si="8"/>
        <v>insert into Online_orders values ('Ord-084', '25-Sep-2020', 'cust-254', 'Prod-011', 'LOW', 'wrh-005');</v>
      </c>
    </row>
    <row r="92" spans="1:11" x14ac:dyDescent="0.25">
      <c r="A92" s="1" t="s">
        <v>4293</v>
      </c>
      <c r="B92" s="11">
        <f t="shared" ca="1" si="5"/>
        <v>43978</v>
      </c>
      <c r="C92" s="11" t="str">
        <f ca="1">r_choice(Customers!$A$2:$A$301)</f>
        <v>cust-284</v>
      </c>
      <c r="D92" s="3" t="str">
        <f t="shared" ca="1" si="6"/>
        <v>Prod-005</v>
      </c>
      <c r="E92" t="str">
        <f t="shared" ca="1" si="7"/>
        <v>LOW</v>
      </c>
      <c r="F92" t="str">
        <f ca="1">r_choice(Warehouses!$A$2:$A$6)</f>
        <v>wrh-005</v>
      </c>
      <c r="K92" t="str">
        <f t="shared" ca="1" si="8"/>
        <v>insert into Online_orders values ('Ord-085', '03-May-2020', 'cust-035', 'Prod-016', 'MEDIUM', 'wrh-001');</v>
      </c>
    </row>
    <row r="93" spans="1:11" x14ac:dyDescent="0.25">
      <c r="A93" s="1" t="s">
        <v>4294</v>
      </c>
      <c r="B93" s="11">
        <f t="shared" ca="1" si="5"/>
        <v>43889</v>
      </c>
      <c r="C93" s="11" t="str">
        <f ca="1">r_choice(Customers!$A$2:$A$301)</f>
        <v>cust-068</v>
      </c>
      <c r="D93" s="3" t="str">
        <f t="shared" ca="1" si="6"/>
        <v>Prod-016</v>
      </c>
      <c r="E93" t="str">
        <f t="shared" ca="1" si="7"/>
        <v>LOW</v>
      </c>
      <c r="F93" t="str">
        <f ca="1">r_choice(Warehouses!$A$2:$A$6)</f>
        <v>wrh-004</v>
      </c>
      <c r="K93" t="str">
        <f t="shared" ca="1" si="8"/>
        <v>insert into Online_orders values ('Ord-086', '30-Aug-2020', 'cust-015', 'Prod-007', 'LOW', 'wrh-002');</v>
      </c>
    </row>
    <row r="94" spans="1:11" x14ac:dyDescent="0.25">
      <c r="A94" s="1" t="s">
        <v>4295</v>
      </c>
      <c r="B94" s="11">
        <f t="shared" ca="1" si="5"/>
        <v>43928</v>
      </c>
      <c r="C94" s="11" t="str">
        <f ca="1">r_choice(Customers!$A$2:$A$301)</f>
        <v>cust-246</v>
      </c>
      <c r="D94" s="3" t="str">
        <f t="shared" ca="1" si="6"/>
        <v>Prod-036</v>
      </c>
      <c r="E94" t="str">
        <f t="shared" ca="1" si="7"/>
        <v>MEDIUM</v>
      </c>
      <c r="F94" t="str">
        <f ca="1">r_choice(Warehouses!$A$2:$A$6)</f>
        <v>wrh-002</v>
      </c>
      <c r="K94" t="str">
        <f t="shared" ca="1" si="8"/>
        <v>insert into Online_orders values ('Ord-087', '16-Jul-2020', 'cust-071', 'Prod-028', 'LOW', 'wrh-002');</v>
      </c>
    </row>
    <row r="95" spans="1:11" x14ac:dyDescent="0.25">
      <c r="A95" s="1" t="s">
        <v>4296</v>
      </c>
      <c r="B95" s="11">
        <f t="shared" ca="1" si="5"/>
        <v>43964</v>
      </c>
      <c r="C95" s="11" t="str">
        <f ca="1">r_choice(Customers!$A$2:$A$301)</f>
        <v>cust-176</v>
      </c>
      <c r="D95" s="3" t="str">
        <f t="shared" ca="1" si="6"/>
        <v>Prod-003</v>
      </c>
      <c r="E95" t="str">
        <f t="shared" ca="1" si="7"/>
        <v>MEDIUM</v>
      </c>
      <c r="F95" t="str">
        <f ca="1">r_choice(Warehouses!$A$2:$A$6)</f>
        <v>wrh-002</v>
      </c>
      <c r="K95" t="str">
        <f t="shared" ca="1" si="8"/>
        <v>insert into Online_orders values ('Ord-088', '23-Oct-2020', 'cust-010', 'Prod-035', 'LOW', 'wrh-001');</v>
      </c>
    </row>
    <row r="96" spans="1:11" x14ac:dyDescent="0.25">
      <c r="A96" s="1" t="s">
        <v>4297</v>
      </c>
      <c r="B96" s="11">
        <f t="shared" ca="1" si="5"/>
        <v>43996</v>
      </c>
      <c r="C96" s="11" t="str">
        <f ca="1">r_choice(Customers!$A$2:$A$301)</f>
        <v>cust-198</v>
      </c>
      <c r="D96" s="3" t="str">
        <f t="shared" ca="1" si="6"/>
        <v>Prod-026</v>
      </c>
      <c r="E96" t="str">
        <f t="shared" ca="1" si="7"/>
        <v>LOW</v>
      </c>
      <c r="F96" t="str">
        <f ca="1">r_choice(Warehouses!$A$2:$A$6)</f>
        <v>wrh-002</v>
      </c>
      <c r="K96" t="str">
        <f t="shared" ca="1" si="8"/>
        <v>insert into Online_orders values ('Ord-089', '18-Nov-2020', 'cust-213', 'Prod-016', 'MEDIUM', 'wrh-001');</v>
      </c>
    </row>
    <row r="97" spans="1:11" x14ac:dyDescent="0.25">
      <c r="A97" s="1" t="s">
        <v>4298</v>
      </c>
      <c r="B97" s="11">
        <f t="shared" ca="1" si="5"/>
        <v>44026</v>
      </c>
      <c r="C97" s="11" t="str">
        <f ca="1">r_choice(Customers!$A$2:$A$301)</f>
        <v>cust-258</v>
      </c>
      <c r="D97" s="3" t="str">
        <f t="shared" ca="1" si="6"/>
        <v>Prod-007</v>
      </c>
      <c r="E97" t="str">
        <f t="shared" ca="1" si="7"/>
        <v>HIGH</v>
      </c>
      <c r="F97" t="str">
        <f ca="1">r_choice(Warehouses!$A$2:$A$6)</f>
        <v>wrh-001</v>
      </c>
      <c r="K97" t="str">
        <f t="shared" ca="1" si="8"/>
        <v>insert into Online_orders values ('Ord-090', '02-Aug-2020', 'cust-087', 'Prod-015', 'LOW', 'wrh-002');</v>
      </c>
    </row>
    <row r="98" spans="1:11" x14ac:dyDescent="0.25">
      <c r="A98" s="1" t="s">
        <v>4299</v>
      </c>
      <c r="B98" s="11">
        <f t="shared" ca="1" si="5"/>
        <v>44042</v>
      </c>
      <c r="C98" s="11" t="str">
        <f ca="1">r_choice(Customers!$A$2:$A$301)</f>
        <v>cust-178</v>
      </c>
      <c r="D98" s="3" t="str">
        <f t="shared" ca="1" si="6"/>
        <v>Prod-038</v>
      </c>
      <c r="E98" t="str">
        <f t="shared" ca="1" si="7"/>
        <v>HIGH</v>
      </c>
      <c r="F98" t="str">
        <f ca="1">r_choice(Warehouses!$A$2:$A$6)</f>
        <v>wrh-004</v>
      </c>
      <c r="K98" t="str">
        <f t="shared" ca="1" si="8"/>
        <v>insert into Online_orders values ('Ord-091', '27-May-2020', 'cust-284', 'Prod-005', 'LOW', 'wrh-005');</v>
      </c>
    </row>
    <row r="99" spans="1:11" x14ac:dyDescent="0.25">
      <c r="A99" s="1" t="s">
        <v>4300</v>
      </c>
      <c r="B99" s="11">
        <f t="shared" ca="1" si="5"/>
        <v>44034</v>
      </c>
      <c r="C99" s="11" t="str">
        <f ca="1">r_choice(Customers!$A$2:$A$301)</f>
        <v>cust-188</v>
      </c>
      <c r="D99" s="3" t="str">
        <f t="shared" ca="1" si="6"/>
        <v>Prod-031</v>
      </c>
      <c r="E99" t="str">
        <f t="shared" ca="1" si="7"/>
        <v>MEDIUM</v>
      </c>
      <c r="F99" t="str">
        <f ca="1">r_choice(Warehouses!$A$2:$A$6)</f>
        <v>wrh-002</v>
      </c>
      <c r="K99" t="str">
        <f t="shared" ca="1" si="8"/>
        <v>insert into Online_orders values ('Ord-092', '28-Feb-2020', 'cust-068', 'Prod-016', 'LOW', 'wrh-004');</v>
      </c>
    </row>
    <row r="100" spans="1:11" x14ac:dyDescent="0.25">
      <c r="A100" s="1" t="s">
        <v>4301</v>
      </c>
      <c r="B100" s="11">
        <f t="shared" ca="1" si="5"/>
        <v>44102</v>
      </c>
      <c r="C100" s="11" t="str">
        <f ca="1">r_choice(Customers!$A$2:$A$301)</f>
        <v>cust-091</v>
      </c>
      <c r="D100" s="3" t="str">
        <f t="shared" ca="1" si="6"/>
        <v>Prod-035</v>
      </c>
      <c r="E100" t="str">
        <f t="shared" ca="1" si="7"/>
        <v>LOW</v>
      </c>
      <c r="F100" t="str">
        <f ca="1">r_choice(Warehouses!$A$2:$A$6)</f>
        <v>wrh-002</v>
      </c>
      <c r="K100" t="str">
        <f t="shared" ca="1" si="8"/>
        <v>insert into Online_orders values ('Ord-093', '07-Apr-2020', 'cust-246', 'Prod-036', 'MEDIUM', 'wrh-002');</v>
      </c>
    </row>
    <row r="101" spans="1:11" x14ac:dyDescent="0.25">
      <c r="A101" s="1" t="s">
        <v>4302</v>
      </c>
      <c r="B101" s="11">
        <f t="shared" ca="1" si="5"/>
        <v>43953</v>
      </c>
      <c r="C101" s="11" t="str">
        <f ca="1">r_choice(Customers!$A$2:$A$301)</f>
        <v>cust-148</v>
      </c>
      <c r="D101" s="3" t="str">
        <f t="shared" ca="1" si="6"/>
        <v>Prod-008</v>
      </c>
      <c r="E101" t="str">
        <f t="shared" ca="1" si="7"/>
        <v>LOW</v>
      </c>
      <c r="F101" t="str">
        <f ca="1">r_choice(Warehouses!$A$2:$A$6)</f>
        <v>wrh-002</v>
      </c>
      <c r="K101" t="str">
        <f t="shared" ca="1" si="8"/>
        <v>insert into Online_orders values ('Ord-094', '13-May-2020', 'cust-176', 'Prod-003', 'MEDIUM', 'wrh-002');</v>
      </c>
    </row>
    <row r="102" spans="1:11" x14ac:dyDescent="0.25">
      <c r="K102" t="str">
        <f t="shared" ca="1" si="8"/>
        <v>insert into Online_orders values ('Ord-095', '14-Jun-2020', 'cust-198', 'Prod-026', 'LOW', 'wrh-002');</v>
      </c>
    </row>
    <row r="103" spans="1:11" x14ac:dyDescent="0.25">
      <c r="K103" t="str">
        <f t="shared" ca="1" si="8"/>
        <v>insert into Online_orders values ('Ord-096', '14-Jul-2020', 'cust-258', 'Prod-007', 'HIGH', 'wrh-001');</v>
      </c>
    </row>
    <row r="104" spans="1:11" x14ac:dyDescent="0.25">
      <c r="K104" t="str">
        <f t="shared" ref="K104:K107" ca="1" si="9">insertinto(A98:F98,$K$1:$L$6,"Online_orders")</f>
        <v>insert into Online_orders values ('Ord-097', '30-Jul-2020', 'cust-178', 'Prod-038', 'HIGH', 'wrh-004');</v>
      </c>
    </row>
    <row r="105" spans="1:11" x14ac:dyDescent="0.25">
      <c r="K105" t="str">
        <f t="shared" ca="1" si="9"/>
        <v>insert into Online_orders values ('Ord-098', '22-Jul-2020', 'cust-188', 'Prod-031', 'MEDIUM', 'wrh-002');</v>
      </c>
    </row>
    <row r="106" spans="1:11" x14ac:dyDescent="0.25">
      <c r="K106" t="str">
        <f t="shared" ca="1" si="9"/>
        <v>insert into Online_orders values ('Ord-099', '28-Sep-2020', 'cust-091', 'Prod-035', 'LOW', 'wrh-002');</v>
      </c>
    </row>
    <row r="107" spans="1:11" x14ac:dyDescent="0.25">
      <c r="K107" t="str">
        <f t="shared" ca="1" si="9"/>
        <v>insert into Online_orders values ('Ord-100', '02-May-2020', 'cust-148', 'Prod-008', 'LOW', 'wrh-002');</v>
      </c>
    </row>
  </sheetData>
  <phoneticPr fontId="2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A47D-061D-4756-891E-1C09E063DDE1}">
  <dimension ref="A1:J459"/>
  <sheetViews>
    <sheetView workbookViewId="0">
      <selection activeCell="H5" sqref="H5"/>
    </sheetView>
  </sheetViews>
  <sheetFormatPr defaultRowHeight="13.2" x14ac:dyDescent="0.25"/>
  <cols>
    <col min="3" max="3" width="9.77734375" bestFit="1" customWidth="1"/>
  </cols>
  <sheetData>
    <row r="1" spans="1:10" x14ac:dyDescent="0.25">
      <c r="A1" t="s">
        <v>4367</v>
      </c>
      <c r="B1" t="s">
        <v>4309</v>
      </c>
      <c r="C1" t="s">
        <v>4368</v>
      </c>
      <c r="D1" t="s">
        <v>4104</v>
      </c>
      <c r="E1" s="1" t="s">
        <v>4362</v>
      </c>
      <c r="F1" t="s">
        <v>4360</v>
      </c>
      <c r="I1" t="s">
        <v>4367</v>
      </c>
      <c r="J1" s="1" t="s">
        <v>5399</v>
      </c>
    </row>
    <row r="2" spans="1:10" x14ac:dyDescent="0.25">
      <c r="A2" t="s">
        <v>4369</v>
      </c>
      <c r="B2" t="str">
        <f ca="1">r_choice(Customers!$A$2:$A$301)</f>
        <v>cust-074</v>
      </c>
      <c r="C2" s="12">
        <f ca="1">r_date(2020,1,2020,12)</f>
        <v>44046</v>
      </c>
      <c r="D2" t="str">
        <f ca="1">r_choice(Games!$A$2:$A$41)</f>
        <v>Prod-011</v>
      </c>
      <c r="E2" t="str">
        <f ca="1">r_choice(Branches!$A$2:$A$21)</f>
        <v>br-004</v>
      </c>
      <c r="F2" t="str">
        <f ca="1">r_choice(Employees!$A$2:$A$101)</f>
        <v>empl_011</v>
      </c>
      <c r="I2" t="s">
        <v>4309</v>
      </c>
      <c r="J2" s="1" t="s">
        <v>5399</v>
      </c>
    </row>
    <row r="3" spans="1:10" x14ac:dyDescent="0.25">
      <c r="A3" t="s">
        <v>4370</v>
      </c>
      <c r="B3" t="str">
        <f ca="1">r_choice(Customers!$A$2:$A$301)</f>
        <v>cust-086</v>
      </c>
      <c r="C3" s="12">
        <f t="shared" ref="C3:C66" ca="1" si="0">r_date(2020,1,2020,12)</f>
        <v>43987</v>
      </c>
      <c r="D3" t="str">
        <f ca="1">r_choice(Games!$A$2:$A$41)</f>
        <v>Prod-004</v>
      </c>
      <c r="E3" t="str">
        <f ca="1">r_choice(Branches!$A$2:$A$21)</f>
        <v>br-010</v>
      </c>
      <c r="F3" t="str">
        <f ca="1">r_choice(Employees!$A$2:$A$101)</f>
        <v>empl_090</v>
      </c>
      <c r="I3" t="s">
        <v>4368</v>
      </c>
      <c r="J3" s="1" t="s">
        <v>5401</v>
      </c>
    </row>
    <row r="4" spans="1:10" x14ac:dyDescent="0.25">
      <c r="A4" t="s">
        <v>4371</v>
      </c>
      <c r="B4" t="str">
        <f ca="1">r_choice(Customers!$A$2:$A$301)</f>
        <v>cust-267</v>
      </c>
      <c r="C4" s="12">
        <f t="shared" ca="1" si="0"/>
        <v>43896</v>
      </c>
      <c r="D4" t="str">
        <f ca="1">r_choice(Games!$A$2:$A$41)</f>
        <v>Prod-019</v>
      </c>
      <c r="E4" t="str">
        <f ca="1">r_choice(Branches!$A$2:$A$21)</f>
        <v>br-004</v>
      </c>
      <c r="F4" t="str">
        <f ca="1">r_choice(Employees!$A$2:$A$101)</f>
        <v>empl_058</v>
      </c>
      <c r="I4" t="s">
        <v>4104</v>
      </c>
      <c r="J4" s="1" t="s">
        <v>5399</v>
      </c>
    </row>
    <row r="5" spans="1:10" x14ac:dyDescent="0.25">
      <c r="A5" t="s">
        <v>4372</v>
      </c>
      <c r="B5" t="str">
        <f ca="1">r_choice(Customers!$A$2:$A$301)</f>
        <v>cust-217</v>
      </c>
      <c r="C5" s="12">
        <f t="shared" ca="1" si="0"/>
        <v>43979</v>
      </c>
      <c r="D5" t="str">
        <f ca="1">r_choice(Games!$A$2:$A$41)</f>
        <v>Prod-011</v>
      </c>
      <c r="E5" t="str">
        <f ca="1">r_choice(Branches!$A$2:$A$21)</f>
        <v>br-016</v>
      </c>
      <c r="F5" t="str">
        <f ca="1">r_choice(Employees!$A$2:$A$101)</f>
        <v>empl_074</v>
      </c>
      <c r="I5" s="1" t="s">
        <v>4362</v>
      </c>
      <c r="J5" s="1" t="s">
        <v>5399</v>
      </c>
    </row>
    <row r="6" spans="1:10" x14ac:dyDescent="0.25">
      <c r="A6" t="s">
        <v>4373</v>
      </c>
      <c r="B6" t="str">
        <f ca="1">r_choice(Customers!$A$2:$A$301)</f>
        <v>cust-233</v>
      </c>
      <c r="C6" s="12">
        <f t="shared" ca="1" si="0"/>
        <v>44169</v>
      </c>
      <c r="D6" t="str">
        <f ca="1">r_choice(Games!$A$2:$A$41)</f>
        <v>Prod-040</v>
      </c>
      <c r="E6" t="str">
        <f ca="1">r_choice(Branches!$A$2:$A$21)</f>
        <v>br-017</v>
      </c>
      <c r="F6" t="str">
        <f ca="1">r_choice(Employees!$A$2:$A$101)</f>
        <v>empl_043</v>
      </c>
      <c r="I6" t="s">
        <v>4360</v>
      </c>
      <c r="J6" s="1" t="s">
        <v>5399</v>
      </c>
    </row>
    <row r="7" spans="1:10" x14ac:dyDescent="0.25">
      <c r="A7" t="s">
        <v>4374</v>
      </c>
      <c r="B7" t="str">
        <f ca="1">r_choice(Customers!$A$2:$A$301)</f>
        <v>cust-192</v>
      </c>
      <c r="C7" s="12">
        <f t="shared" ca="1" si="0"/>
        <v>44047</v>
      </c>
      <c r="D7" t="str">
        <f ca="1">r_choice(Games!$A$2:$A$41)</f>
        <v>Prod-001</v>
      </c>
      <c r="E7" t="str">
        <f ca="1">r_choice(Branches!$A$2:$A$21)</f>
        <v>br-002</v>
      </c>
      <c r="F7" t="str">
        <f ca="1">r_choice(Employees!$A$2:$A$101)</f>
        <v>empl_012</v>
      </c>
    </row>
    <row r="8" spans="1:10" x14ac:dyDescent="0.25">
      <c r="A8" t="s">
        <v>4375</v>
      </c>
      <c r="B8" t="str">
        <f ca="1">r_choice(Customers!$A$2:$A$301)</f>
        <v>cust-116</v>
      </c>
      <c r="C8" s="12">
        <f t="shared" ca="1" si="0"/>
        <v>44163</v>
      </c>
      <c r="D8" t="str">
        <f ca="1">r_choice(Games!$A$2:$A$41)</f>
        <v>Prod-038</v>
      </c>
      <c r="E8" t="str">
        <f ca="1">r_choice(Branches!$A$2:$A$21)</f>
        <v>br-017</v>
      </c>
      <c r="F8" t="str">
        <f ca="1">r_choice(Employees!$A$2:$A$101)</f>
        <v>empl_062</v>
      </c>
      <c r="I8" t="str">
        <f t="shared" ref="I8:I71" ca="1" si="1">insertinto(A2:F2,$I$1:$J$6,"Local_sales")</f>
        <v>insert into Local_sales values ('Sale-001', 'cust-074', '03-Aug-2020', 'Prod-011', 'br-004', 'empl_011');</v>
      </c>
    </row>
    <row r="9" spans="1:10" x14ac:dyDescent="0.25">
      <c r="A9" t="s">
        <v>4376</v>
      </c>
      <c r="B9" t="str">
        <f ca="1">r_choice(Customers!$A$2:$A$301)</f>
        <v>cust-250</v>
      </c>
      <c r="C9" s="12">
        <f t="shared" ca="1" si="0"/>
        <v>44157</v>
      </c>
      <c r="D9" t="str">
        <f ca="1">r_choice(Games!$A$2:$A$41)</f>
        <v>Prod-022</v>
      </c>
      <c r="E9" t="str">
        <f ca="1">r_choice(Branches!$A$2:$A$21)</f>
        <v>br-020</v>
      </c>
      <c r="F9" t="str">
        <f ca="1">r_choice(Employees!$A$2:$A$101)</f>
        <v>empl_005</v>
      </c>
      <c r="I9" t="str">
        <f t="shared" ca="1" si="1"/>
        <v>insert into Local_sales values ('Sale-002', 'cust-086', '05-Jun-2020', 'Prod-004', 'br-010', 'empl_090');</v>
      </c>
    </row>
    <row r="10" spans="1:10" x14ac:dyDescent="0.25">
      <c r="A10" t="s">
        <v>4377</v>
      </c>
      <c r="B10" t="str">
        <f ca="1">r_choice(Customers!$A$2:$A$301)</f>
        <v>cust-187</v>
      </c>
      <c r="C10" s="12">
        <f t="shared" ca="1" si="0"/>
        <v>43880</v>
      </c>
      <c r="D10" t="str">
        <f ca="1">r_choice(Games!$A$2:$A$41)</f>
        <v>Prod-027</v>
      </c>
      <c r="E10" t="str">
        <f ca="1">r_choice(Branches!$A$2:$A$21)</f>
        <v>br-003</v>
      </c>
      <c r="F10" t="str">
        <f ca="1">r_choice(Employees!$A$2:$A$101)</f>
        <v>empl_018</v>
      </c>
      <c r="I10" t="str">
        <f t="shared" ca="1" si="1"/>
        <v>insert into Local_sales values ('Sale-003', 'cust-267', '06-Mar-2020', 'Prod-019', 'br-004', 'empl_058');</v>
      </c>
    </row>
    <row r="11" spans="1:10" x14ac:dyDescent="0.25">
      <c r="A11" t="s">
        <v>4378</v>
      </c>
      <c r="B11" t="str">
        <f ca="1">r_choice(Customers!$A$2:$A$301)</f>
        <v>cust-199</v>
      </c>
      <c r="C11" s="12">
        <f t="shared" ca="1" si="0"/>
        <v>43967</v>
      </c>
      <c r="D11" t="str">
        <f ca="1">r_choice(Games!$A$2:$A$41)</f>
        <v>Prod-022</v>
      </c>
      <c r="E11" t="str">
        <f ca="1">r_choice(Branches!$A$2:$A$21)</f>
        <v>br-016</v>
      </c>
      <c r="F11" t="str">
        <f ca="1">r_choice(Employees!$A$2:$A$101)</f>
        <v>empl_005</v>
      </c>
      <c r="I11" t="str">
        <f t="shared" ca="1" si="1"/>
        <v>insert into Local_sales values ('Sale-004', 'cust-217', '28-May-2020', 'Prod-011', 'br-016', 'empl_074');</v>
      </c>
    </row>
    <row r="12" spans="1:10" x14ac:dyDescent="0.25">
      <c r="A12" t="s">
        <v>4379</v>
      </c>
      <c r="B12" t="str">
        <f ca="1">r_choice(Customers!$A$2:$A$301)</f>
        <v>cust-223</v>
      </c>
      <c r="C12" s="12">
        <f t="shared" ca="1" si="0"/>
        <v>44180</v>
      </c>
      <c r="D12" t="str">
        <f ca="1">r_choice(Games!$A$2:$A$41)</f>
        <v>Prod-031</v>
      </c>
      <c r="E12" t="str">
        <f ca="1">r_choice(Branches!$A$2:$A$21)</f>
        <v>br-008</v>
      </c>
      <c r="F12" t="str">
        <f ca="1">r_choice(Employees!$A$2:$A$101)</f>
        <v>empl_035</v>
      </c>
      <c r="I12" t="str">
        <f t="shared" ca="1" si="1"/>
        <v>insert into Local_sales values ('Sale-005', 'cust-233', '04-Dec-2020', 'Prod-040', 'br-017', 'empl_043');</v>
      </c>
    </row>
    <row r="13" spans="1:10" x14ac:dyDescent="0.25">
      <c r="A13" t="s">
        <v>4380</v>
      </c>
      <c r="B13" t="str">
        <f ca="1">r_choice(Customers!$A$2:$A$301)</f>
        <v>cust-084</v>
      </c>
      <c r="C13" s="12">
        <f t="shared" ca="1" si="0"/>
        <v>43848</v>
      </c>
      <c r="D13" t="str">
        <f ca="1">r_choice(Games!$A$2:$A$41)</f>
        <v>Prod-031</v>
      </c>
      <c r="E13" t="str">
        <f ca="1">r_choice(Branches!$A$2:$A$21)</f>
        <v>br-011</v>
      </c>
      <c r="F13" t="str">
        <f ca="1">r_choice(Employees!$A$2:$A$101)</f>
        <v>empl_098</v>
      </c>
      <c r="I13" t="str">
        <f t="shared" ca="1" si="1"/>
        <v>insert into Local_sales values ('Sale-006', 'cust-192', '04-Aug-2020', 'Prod-001', 'br-002', 'empl_012');</v>
      </c>
    </row>
    <row r="14" spans="1:10" x14ac:dyDescent="0.25">
      <c r="A14" t="s">
        <v>4381</v>
      </c>
      <c r="B14" t="str">
        <f ca="1">r_choice(Customers!$A$2:$A$301)</f>
        <v>cust-246</v>
      </c>
      <c r="C14" s="12">
        <f t="shared" ca="1" si="0"/>
        <v>44109</v>
      </c>
      <c r="D14" t="str">
        <f ca="1">r_choice(Games!$A$2:$A$41)</f>
        <v>Prod-035</v>
      </c>
      <c r="E14" t="str">
        <f ca="1">r_choice(Branches!$A$2:$A$21)</f>
        <v>br-017</v>
      </c>
      <c r="F14" t="str">
        <f ca="1">r_choice(Employees!$A$2:$A$101)</f>
        <v>empl_036</v>
      </c>
      <c r="I14" t="str">
        <f t="shared" ca="1" si="1"/>
        <v>insert into Local_sales values ('Sale-007', 'cust-116', '28-Nov-2020', 'Prod-038', 'br-017', 'empl_062');</v>
      </c>
    </row>
    <row r="15" spans="1:10" x14ac:dyDescent="0.25">
      <c r="A15" t="s">
        <v>4382</v>
      </c>
      <c r="B15" t="str">
        <f ca="1">r_choice(Customers!$A$2:$A$301)</f>
        <v>cust-025</v>
      </c>
      <c r="C15" s="12">
        <f t="shared" ca="1" si="0"/>
        <v>43863</v>
      </c>
      <c r="D15" t="str">
        <f ca="1">r_choice(Games!$A$2:$A$41)</f>
        <v>Prod-004</v>
      </c>
      <c r="E15" t="str">
        <f ca="1">r_choice(Branches!$A$2:$A$21)</f>
        <v>br-006</v>
      </c>
      <c r="F15" t="str">
        <f ca="1">r_choice(Employees!$A$2:$A$101)</f>
        <v>empl_051</v>
      </c>
      <c r="I15" t="str">
        <f t="shared" ca="1" si="1"/>
        <v>insert into Local_sales values ('Sale-008', 'cust-250', '22-Nov-2020', 'Prod-022', 'br-020', 'empl_005');</v>
      </c>
    </row>
    <row r="16" spans="1:10" x14ac:dyDescent="0.25">
      <c r="A16" t="s">
        <v>4383</v>
      </c>
      <c r="B16" t="str">
        <f ca="1">r_choice(Customers!$A$2:$A$301)</f>
        <v>cust-268</v>
      </c>
      <c r="C16" s="12">
        <f t="shared" ca="1" si="0"/>
        <v>43992</v>
      </c>
      <c r="D16" t="str">
        <f ca="1">r_choice(Games!$A$2:$A$41)</f>
        <v>Prod-004</v>
      </c>
      <c r="E16" t="str">
        <f ca="1">r_choice(Branches!$A$2:$A$21)</f>
        <v>br-006</v>
      </c>
      <c r="F16" t="str">
        <f ca="1">r_choice(Employees!$A$2:$A$101)</f>
        <v>empl_026</v>
      </c>
      <c r="I16" t="str">
        <f t="shared" ca="1" si="1"/>
        <v>insert into Local_sales values ('Sale-009', 'cust-187', '19-Feb-2020', 'Prod-027', 'br-003', 'empl_018');</v>
      </c>
    </row>
    <row r="17" spans="1:9" x14ac:dyDescent="0.25">
      <c r="A17" t="s">
        <v>4384</v>
      </c>
      <c r="B17" t="str">
        <f ca="1">r_choice(Customers!$A$2:$A$301)</f>
        <v>cust-273</v>
      </c>
      <c r="C17" s="12">
        <f t="shared" ca="1" si="0"/>
        <v>44034</v>
      </c>
      <c r="D17" t="str">
        <f ca="1">r_choice(Games!$A$2:$A$41)</f>
        <v>Prod-027</v>
      </c>
      <c r="E17" t="str">
        <f ca="1">r_choice(Branches!$A$2:$A$21)</f>
        <v>br-007</v>
      </c>
      <c r="F17" t="str">
        <f ca="1">r_choice(Employees!$A$2:$A$101)</f>
        <v>empl_051</v>
      </c>
      <c r="I17" t="str">
        <f t="shared" ca="1" si="1"/>
        <v>insert into Local_sales values ('Sale-010', 'cust-199', '16-May-2020', 'Prod-022', 'br-016', 'empl_005');</v>
      </c>
    </row>
    <row r="18" spans="1:9" x14ac:dyDescent="0.25">
      <c r="A18" t="s">
        <v>4385</v>
      </c>
      <c r="B18" t="str">
        <f ca="1">r_choice(Customers!$A$2:$A$301)</f>
        <v>cust-014</v>
      </c>
      <c r="C18" s="12">
        <f t="shared" ca="1" si="0"/>
        <v>44181</v>
      </c>
      <c r="D18" t="str">
        <f ca="1">r_choice(Games!$A$2:$A$41)</f>
        <v>Prod-018</v>
      </c>
      <c r="E18" t="str">
        <f ca="1">r_choice(Branches!$A$2:$A$21)</f>
        <v>br-011</v>
      </c>
      <c r="F18" t="str">
        <f ca="1">r_choice(Employees!$A$2:$A$101)</f>
        <v>empl_050</v>
      </c>
      <c r="I18" t="str">
        <f t="shared" ca="1" si="1"/>
        <v>insert into Local_sales values ('Sale-011', 'cust-223', '15-Dec-2020', 'Prod-031', 'br-008', 'empl_035');</v>
      </c>
    </row>
    <row r="19" spans="1:9" x14ac:dyDescent="0.25">
      <c r="A19" t="s">
        <v>4386</v>
      </c>
      <c r="B19" t="str">
        <f ca="1">r_choice(Customers!$A$2:$A$301)</f>
        <v>cust-244</v>
      </c>
      <c r="C19" s="12">
        <f t="shared" ca="1" si="0"/>
        <v>44185</v>
      </c>
      <c r="D19" t="str">
        <f ca="1">r_choice(Games!$A$2:$A$41)</f>
        <v>Prod-022</v>
      </c>
      <c r="E19" t="str">
        <f ca="1">r_choice(Branches!$A$2:$A$21)</f>
        <v>br-019</v>
      </c>
      <c r="F19" t="str">
        <f ca="1">r_choice(Employees!$A$2:$A$101)</f>
        <v>empl_029</v>
      </c>
      <c r="I19" t="str">
        <f t="shared" ca="1" si="1"/>
        <v>insert into Local_sales values ('Sale-012', 'cust-084', '18-Jan-2020', 'Prod-031', 'br-011', 'empl_098');</v>
      </c>
    </row>
    <row r="20" spans="1:9" x14ac:dyDescent="0.25">
      <c r="A20" t="s">
        <v>4387</v>
      </c>
      <c r="B20" t="str">
        <f ca="1">r_choice(Customers!$A$2:$A$301)</f>
        <v>cust-173</v>
      </c>
      <c r="C20" s="12">
        <f t="shared" ca="1" si="0"/>
        <v>43949</v>
      </c>
      <c r="D20" t="str">
        <f ca="1">r_choice(Games!$A$2:$A$41)</f>
        <v>Prod-028</v>
      </c>
      <c r="E20" t="str">
        <f ca="1">r_choice(Branches!$A$2:$A$21)</f>
        <v>br-020</v>
      </c>
      <c r="F20" t="str">
        <f ca="1">r_choice(Employees!$A$2:$A$101)</f>
        <v>empl_042</v>
      </c>
      <c r="I20" t="str">
        <f t="shared" ca="1" si="1"/>
        <v>insert into Local_sales values ('Sale-013', 'cust-246', '05-Oct-2020', 'Prod-035', 'br-017', 'empl_036');</v>
      </c>
    </row>
    <row r="21" spans="1:9" x14ac:dyDescent="0.25">
      <c r="A21" t="s">
        <v>4388</v>
      </c>
      <c r="B21" t="str">
        <f ca="1">r_choice(Customers!$A$2:$A$301)</f>
        <v>cust-009</v>
      </c>
      <c r="C21" s="12">
        <f t="shared" ca="1" si="0"/>
        <v>44022</v>
      </c>
      <c r="D21" t="str">
        <f ca="1">r_choice(Games!$A$2:$A$41)</f>
        <v>Prod-012</v>
      </c>
      <c r="E21" t="str">
        <f ca="1">r_choice(Branches!$A$2:$A$21)</f>
        <v>br-001</v>
      </c>
      <c r="F21" t="str">
        <f ca="1">r_choice(Employees!$A$2:$A$101)</f>
        <v>empl_076</v>
      </c>
      <c r="I21" t="str">
        <f t="shared" ca="1" si="1"/>
        <v>insert into Local_sales values ('Sale-014', 'cust-025', '02-Feb-2020', 'Prod-004', 'br-006', 'empl_051');</v>
      </c>
    </row>
    <row r="22" spans="1:9" x14ac:dyDescent="0.25">
      <c r="A22" t="s">
        <v>4389</v>
      </c>
      <c r="B22" t="str">
        <f ca="1">r_choice(Customers!$A$2:$A$301)</f>
        <v>cust-007</v>
      </c>
      <c r="C22" s="12">
        <f t="shared" ca="1" si="0"/>
        <v>43887</v>
      </c>
      <c r="D22" t="str">
        <f ca="1">r_choice(Games!$A$2:$A$41)</f>
        <v>Prod-035</v>
      </c>
      <c r="E22" t="str">
        <f ca="1">r_choice(Branches!$A$2:$A$21)</f>
        <v>br-008</v>
      </c>
      <c r="F22" t="str">
        <f ca="1">r_choice(Employees!$A$2:$A$101)</f>
        <v>empl_083</v>
      </c>
      <c r="I22" t="str">
        <f t="shared" ca="1" si="1"/>
        <v>insert into Local_sales values ('Sale-015', 'cust-268', '10-Jun-2020', 'Prod-004', 'br-006', 'empl_026');</v>
      </c>
    </row>
    <row r="23" spans="1:9" x14ac:dyDescent="0.25">
      <c r="A23" t="s">
        <v>4390</v>
      </c>
      <c r="B23" t="str">
        <f ca="1">r_choice(Customers!$A$2:$A$301)</f>
        <v>cust-188</v>
      </c>
      <c r="C23" s="12">
        <f t="shared" ca="1" si="0"/>
        <v>44191</v>
      </c>
      <c r="D23" t="str">
        <f ca="1">r_choice(Games!$A$2:$A$41)</f>
        <v>Prod-024</v>
      </c>
      <c r="E23" t="str">
        <f ca="1">r_choice(Branches!$A$2:$A$21)</f>
        <v>br-014</v>
      </c>
      <c r="F23" t="str">
        <f ca="1">r_choice(Employees!$A$2:$A$101)</f>
        <v>empl_019</v>
      </c>
      <c r="I23" t="str">
        <f t="shared" ca="1" si="1"/>
        <v>insert into Local_sales values ('Sale-016', 'cust-273', '22-Jul-2020', 'Prod-027', 'br-007', 'empl_051');</v>
      </c>
    </row>
    <row r="24" spans="1:9" x14ac:dyDescent="0.25">
      <c r="A24" t="s">
        <v>4391</v>
      </c>
      <c r="B24" t="str">
        <f ca="1">r_choice(Customers!$A$2:$A$301)</f>
        <v>cust-236</v>
      </c>
      <c r="C24" s="12">
        <f t="shared" ca="1" si="0"/>
        <v>44123</v>
      </c>
      <c r="D24" t="str">
        <f ca="1">r_choice(Games!$A$2:$A$41)</f>
        <v>Prod-002</v>
      </c>
      <c r="E24" t="str">
        <f ca="1">r_choice(Branches!$A$2:$A$21)</f>
        <v>br-005</v>
      </c>
      <c r="F24" t="str">
        <f ca="1">r_choice(Employees!$A$2:$A$101)</f>
        <v>empl_047</v>
      </c>
      <c r="I24" t="str">
        <f t="shared" ca="1" si="1"/>
        <v>insert into Local_sales values ('Sale-017', 'cust-014', '16-Dec-2020', 'Prod-018', 'br-011', 'empl_050');</v>
      </c>
    </row>
    <row r="25" spans="1:9" x14ac:dyDescent="0.25">
      <c r="A25" t="s">
        <v>4392</v>
      </c>
      <c r="B25" t="str">
        <f ca="1">r_choice(Customers!$A$2:$A$301)</f>
        <v>cust-248</v>
      </c>
      <c r="C25" s="12">
        <f t="shared" ca="1" si="0"/>
        <v>44192</v>
      </c>
      <c r="D25" t="str">
        <f ca="1">r_choice(Games!$A$2:$A$41)</f>
        <v>Prod-029</v>
      </c>
      <c r="E25" t="str">
        <f ca="1">r_choice(Branches!$A$2:$A$21)</f>
        <v>br-019</v>
      </c>
      <c r="F25" t="str">
        <f ca="1">r_choice(Employees!$A$2:$A$101)</f>
        <v>empl_061</v>
      </c>
      <c r="I25" t="str">
        <f t="shared" ca="1" si="1"/>
        <v>insert into Local_sales values ('Sale-018', 'cust-244', '20-Dec-2020', 'Prod-022', 'br-019', 'empl_029');</v>
      </c>
    </row>
    <row r="26" spans="1:9" x14ac:dyDescent="0.25">
      <c r="A26" t="s">
        <v>4393</v>
      </c>
      <c r="B26" t="str">
        <f ca="1">r_choice(Customers!$A$2:$A$301)</f>
        <v>cust-284</v>
      </c>
      <c r="C26" s="12">
        <f t="shared" ca="1" si="0"/>
        <v>44086</v>
      </c>
      <c r="D26" t="str">
        <f ca="1">r_choice(Games!$A$2:$A$41)</f>
        <v>Prod-007</v>
      </c>
      <c r="E26" t="str">
        <f ca="1">r_choice(Branches!$A$2:$A$21)</f>
        <v>br-012</v>
      </c>
      <c r="F26" t="str">
        <f ca="1">r_choice(Employees!$A$2:$A$101)</f>
        <v>empl_084</v>
      </c>
      <c r="I26" t="str">
        <f t="shared" ca="1" si="1"/>
        <v>insert into Local_sales values ('Sale-019', 'cust-173', '28-Apr-2020', 'Prod-028', 'br-020', 'empl_042');</v>
      </c>
    </row>
    <row r="27" spans="1:9" x14ac:dyDescent="0.25">
      <c r="A27" t="s">
        <v>4394</v>
      </c>
      <c r="B27" t="str">
        <f ca="1">r_choice(Customers!$A$2:$A$301)</f>
        <v>cust-218</v>
      </c>
      <c r="C27" s="12">
        <f t="shared" ca="1" si="0"/>
        <v>43940</v>
      </c>
      <c r="D27" t="str">
        <f ca="1">r_choice(Games!$A$2:$A$41)</f>
        <v>Prod-025</v>
      </c>
      <c r="E27" t="str">
        <f ca="1">r_choice(Branches!$A$2:$A$21)</f>
        <v>br-016</v>
      </c>
      <c r="F27" t="str">
        <f ca="1">r_choice(Employees!$A$2:$A$101)</f>
        <v>empl_024</v>
      </c>
      <c r="I27" t="str">
        <f t="shared" ca="1" si="1"/>
        <v>insert into Local_sales values ('Sale-020', 'cust-009', '10-Jul-2020', 'Prod-012', 'br-001', 'empl_076');</v>
      </c>
    </row>
    <row r="28" spans="1:9" x14ac:dyDescent="0.25">
      <c r="A28" t="s">
        <v>4395</v>
      </c>
      <c r="B28" t="str">
        <f ca="1">r_choice(Customers!$A$2:$A$301)</f>
        <v>cust-120</v>
      </c>
      <c r="C28" s="12">
        <f t="shared" ca="1" si="0"/>
        <v>44054</v>
      </c>
      <c r="D28" t="str">
        <f ca="1">r_choice(Games!$A$2:$A$41)</f>
        <v>Prod-010</v>
      </c>
      <c r="E28" t="str">
        <f ca="1">r_choice(Branches!$A$2:$A$21)</f>
        <v>br-004</v>
      </c>
      <c r="F28" t="str">
        <f ca="1">r_choice(Employees!$A$2:$A$101)</f>
        <v>empl_008</v>
      </c>
      <c r="I28" t="str">
        <f t="shared" ca="1" si="1"/>
        <v>insert into Local_sales values ('Sale-021', 'cust-007', '26-Feb-2020', 'Prod-035', 'br-008', 'empl_083');</v>
      </c>
    </row>
    <row r="29" spans="1:9" x14ac:dyDescent="0.25">
      <c r="A29" t="s">
        <v>4396</v>
      </c>
      <c r="B29" t="str">
        <f ca="1">r_choice(Customers!$A$2:$A$301)</f>
        <v>cust-057</v>
      </c>
      <c r="C29" s="12">
        <f t="shared" ca="1" si="0"/>
        <v>44070</v>
      </c>
      <c r="D29" t="str">
        <f ca="1">r_choice(Games!$A$2:$A$41)</f>
        <v>Prod-017</v>
      </c>
      <c r="E29" t="str">
        <f ca="1">r_choice(Branches!$A$2:$A$21)</f>
        <v>br-005</v>
      </c>
      <c r="F29" t="str">
        <f ca="1">r_choice(Employees!$A$2:$A$101)</f>
        <v>empl_057</v>
      </c>
      <c r="I29" t="str">
        <f t="shared" ca="1" si="1"/>
        <v>insert into Local_sales values ('Sale-022', 'cust-188', '26-Dec-2020', 'Prod-024', 'br-014', 'empl_019');</v>
      </c>
    </row>
    <row r="30" spans="1:9" x14ac:dyDescent="0.25">
      <c r="A30" t="s">
        <v>4397</v>
      </c>
      <c r="B30" t="str">
        <f ca="1">r_choice(Customers!$A$2:$A$301)</f>
        <v>cust-217</v>
      </c>
      <c r="C30" s="12">
        <f t="shared" ca="1" si="0"/>
        <v>43880</v>
      </c>
      <c r="D30" t="str">
        <f ca="1">r_choice(Games!$A$2:$A$41)</f>
        <v>Prod-038</v>
      </c>
      <c r="E30" t="str">
        <f ca="1">r_choice(Branches!$A$2:$A$21)</f>
        <v>br-013</v>
      </c>
      <c r="F30" t="str">
        <f ca="1">r_choice(Employees!$A$2:$A$101)</f>
        <v>empl_026</v>
      </c>
      <c r="I30" t="str">
        <f t="shared" ca="1" si="1"/>
        <v>insert into Local_sales values ('Sale-023', 'cust-236', '19-Oct-2020', 'Prod-002', 'br-005', 'empl_047');</v>
      </c>
    </row>
    <row r="31" spans="1:9" x14ac:dyDescent="0.25">
      <c r="A31" t="s">
        <v>4398</v>
      </c>
      <c r="B31" t="str">
        <f ca="1">r_choice(Customers!$A$2:$A$301)</f>
        <v>cust-065</v>
      </c>
      <c r="C31" s="12">
        <f t="shared" ca="1" si="0"/>
        <v>44039</v>
      </c>
      <c r="D31" t="str">
        <f ca="1">r_choice(Games!$A$2:$A$41)</f>
        <v>Prod-029</v>
      </c>
      <c r="E31" t="str">
        <f ca="1">r_choice(Branches!$A$2:$A$21)</f>
        <v>br-017</v>
      </c>
      <c r="F31" t="str">
        <f ca="1">r_choice(Employees!$A$2:$A$101)</f>
        <v>empl_080</v>
      </c>
      <c r="I31" t="str">
        <f t="shared" ca="1" si="1"/>
        <v>insert into Local_sales values ('Sale-024', 'cust-248', '27-Dec-2020', 'Prod-029', 'br-019', 'empl_061');</v>
      </c>
    </row>
    <row r="32" spans="1:9" x14ac:dyDescent="0.25">
      <c r="A32" t="s">
        <v>4399</v>
      </c>
      <c r="B32" t="str">
        <f ca="1">r_choice(Customers!$A$2:$A$301)</f>
        <v>cust-032</v>
      </c>
      <c r="C32" s="12">
        <f t="shared" ca="1" si="0"/>
        <v>44078</v>
      </c>
      <c r="D32" t="str">
        <f ca="1">r_choice(Games!$A$2:$A$41)</f>
        <v>Prod-039</v>
      </c>
      <c r="E32" t="str">
        <f ca="1">r_choice(Branches!$A$2:$A$21)</f>
        <v>br-005</v>
      </c>
      <c r="F32" t="str">
        <f ca="1">r_choice(Employees!$A$2:$A$101)</f>
        <v>empl_056</v>
      </c>
      <c r="I32" t="str">
        <f t="shared" ca="1" si="1"/>
        <v>insert into Local_sales values ('Sale-025', 'cust-284', '12-Sep-2020', 'Prod-007', 'br-012', 'empl_084');</v>
      </c>
    </row>
    <row r="33" spans="1:9" x14ac:dyDescent="0.25">
      <c r="A33" t="s">
        <v>4400</v>
      </c>
      <c r="B33" t="str">
        <f ca="1">r_choice(Customers!$A$2:$A$301)</f>
        <v>cust-148</v>
      </c>
      <c r="C33" s="12">
        <f t="shared" ca="1" si="0"/>
        <v>43851</v>
      </c>
      <c r="D33" t="str">
        <f ca="1">r_choice(Games!$A$2:$A$41)</f>
        <v>Prod-028</v>
      </c>
      <c r="E33" t="str">
        <f ca="1">r_choice(Branches!$A$2:$A$21)</f>
        <v>br-015</v>
      </c>
      <c r="F33" t="str">
        <f ca="1">r_choice(Employees!$A$2:$A$101)</f>
        <v>empl_004</v>
      </c>
      <c r="I33" t="str">
        <f t="shared" ca="1" si="1"/>
        <v>insert into Local_sales values ('Sale-026', 'cust-218', '19-Apr-2020', 'Prod-025', 'br-016', 'empl_024');</v>
      </c>
    </row>
    <row r="34" spans="1:9" x14ac:dyDescent="0.25">
      <c r="A34" t="s">
        <v>4401</v>
      </c>
      <c r="B34" t="str">
        <f ca="1">r_choice(Customers!$A$2:$A$301)</f>
        <v>cust-036</v>
      </c>
      <c r="C34" s="12">
        <f t="shared" ca="1" si="0"/>
        <v>44168</v>
      </c>
      <c r="D34" t="str">
        <f ca="1">r_choice(Games!$A$2:$A$41)</f>
        <v>Prod-037</v>
      </c>
      <c r="E34" t="str">
        <f ca="1">r_choice(Branches!$A$2:$A$21)</f>
        <v>br-001</v>
      </c>
      <c r="F34" t="str">
        <f ca="1">r_choice(Employees!$A$2:$A$101)</f>
        <v>empl_031</v>
      </c>
      <c r="I34" t="str">
        <f t="shared" ca="1" si="1"/>
        <v>insert into Local_sales values ('Sale-027', 'cust-120', '11-Aug-2020', 'Prod-010', 'br-004', 'empl_008');</v>
      </c>
    </row>
    <row r="35" spans="1:9" x14ac:dyDescent="0.25">
      <c r="A35" t="s">
        <v>4402</v>
      </c>
      <c r="B35" t="str">
        <f ca="1">r_choice(Customers!$A$2:$A$301)</f>
        <v>cust-265</v>
      </c>
      <c r="C35" s="12">
        <f t="shared" ca="1" si="0"/>
        <v>43933</v>
      </c>
      <c r="D35" t="str">
        <f ca="1">r_choice(Games!$A$2:$A$41)</f>
        <v>Prod-012</v>
      </c>
      <c r="E35" t="str">
        <f ca="1">r_choice(Branches!$A$2:$A$21)</f>
        <v>br-015</v>
      </c>
      <c r="F35" t="str">
        <f ca="1">r_choice(Employees!$A$2:$A$101)</f>
        <v>empl_053</v>
      </c>
      <c r="I35" t="str">
        <f t="shared" ca="1" si="1"/>
        <v>insert into Local_sales values ('Sale-028', 'cust-057', '27-Aug-2020', 'Prod-017', 'br-005', 'empl_057');</v>
      </c>
    </row>
    <row r="36" spans="1:9" x14ac:dyDescent="0.25">
      <c r="A36" t="s">
        <v>4403</v>
      </c>
      <c r="B36" t="str">
        <f ca="1">r_choice(Customers!$A$2:$A$301)</f>
        <v>cust-279</v>
      </c>
      <c r="C36" s="12">
        <f t="shared" ca="1" si="0"/>
        <v>44184</v>
      </c>
      <c r="D36" t="str">
        <f ca="1">r_choice(Games!$A$2:$A$41)</f>
        <v>Prod-001</v>
      </c>
      <c r="E36" t="str">
        <f ca="1">r_choice(Branches!$A$2:$A$21)</f>
        <v>br-007</v>
      </c>
      <c r="F36" t="str">
        <f ca="1">r_choice(Employees!$A$2:$A$101)</f>
        <v>empl_077</v>
      </c>
      <c r="I36" t="str">
        <f t="shared" ca="1" si="1"/>
        <v>insert into Local_sales values ('Sale-029', 'cust-217', '19-Feb-2020', 'Prod-038', 'br-013', 'empl_026');</v>
      </c>
    </row>
    <row r="37" spans="1:9" x14ac:dyDescent="0.25">
      <c r="A37" t="s">
        <v>4404</v>
      </c>
      <c r="B37" t="str">
        <f ca="1">r_choice(Customers!$A$2:$A$301)</f>
        <v>cust-183</v>
      </c>
      <c r="C37" s="12">
        <f t="shared" ca="1" si="0"/>
        <v>44027</v>
      </c>
      <c r="D37" t="str">
        <f ca="1">r_choice(Games!$A$2:$A$41)</f>
        <v>Prod-002</v>
      </c>
      <c r="E37" t="str">
        <f ca="1">r_choice(Branches!$A$2:$A$21)</f>
        <v>br-013</v>
      </c>
      <c r="F37" t="str">
        <f ca="1">r_choice(Employees!$A$2:$A$101)</f>
        <v>empl_052</v>
      </c>
      <c r="I37" t="str">
        <f t="shared" ca="1" si="1"/>
        <v>insert into Local_sales values ('Sale-030', 'cust-065', '27-Jul-2020', 'Prod-029', 'br-017', 'empl_080');</v>
      </c>
    </row>
    <row r="38" spans="1:9" x14ac:dyDescent="0.25">
      <c r="A38" t="s">
        <v>4405</v>
      </c>
      <c r="B38" t="str">
        <f ca="1">r_choice(Customers!$A$2:$A$301)</f>
        <v>cust-082</v>
      </c>
      <c r="C38" s="12">
        <f t="shared" ca="1" si="0"/>
        <v>43899</v>
      </c>
      <c r="D38" t="str">
        <f ca="1">r_choice(Games!$A$2:$A$41)</f>
        <v>Prod-037</v>
      </c>
      <c r="E38" t="str">
        <f ca="1">r_choice(Branches!$A$2:$A$21)</f>
        <v>br-006</v>
      </c>
      <c r="F38" t="str">
        <f ca="1">r_choice(Employees!$A$2:$A$101)</f>
        <v>empl_054</v>
      </c>
      <c r="I38" t="str">
        <f t="shared" ca="1" si="1"/>
        <v>insert into Local_sales values ('Sale-031', 'cust-032', '04-Sep-2020', 'Prod-039', 'br-005', 'empl_056');</v>
      </c>
    </row>
    <row r="39" spans="1:9" x14ac:dyDescent="0.25">
      <c r="A39" t="s">
        <v>4406</v>
      </c>
      <c r="B39" t="str">
        <f ca="1">r_choice(Customers!$A$2:$A$301)</f>
        <v>cust-242</v>
      </c>
      <c r="C39" s="12">
        <f t="shared" ca="1" si="0"/>
        <v>43951</v>
      </c>
      <c r="D39" t="str">
        <f ca="1">r_choice(Games!$A$2:$A$41)</f>
        <v>Prod-034</v>
      </c>
      <c r="E39" t="str">
        <f ca="1">r_choice(Branches!$A$2:$A$21)</f>
        <v>br-010</v>
      </c>
      <c r="F39" t="str">
        <f ca="1">r_choice(Employees!$A$2:$A$101)</f>
        <v>empl_029</v>
      </c>
      <c r="I39" t="str">
        <f t="shared" ca="1" si="1"/>
        <v>insert into Local_sales values ('Sale-032', 'cust-148', '21-Jan-2020', 'Prod-028', 'br-015', 'empl_004');</v>
      </c>
    </row>
    <row r="40" spans="1:9" x14ac:dyDescent="0.25">
      <c r="A40" t="s">
        <v>4407</v>
      </c>
      <c r="B40" t="str">
        <f ca="1">r_choice(Customers!$A$2:$A$301)</f>
        <v>cust-202</v>
      </c>
      <c r="C40" s="12">
        <f t="shared" ca="1" si="0"/>
        <v>43965</v>
      </c>
      <c r="D40" t="str">
        <f ca="1">r_choice(Games!$A$2:$A$41)</f>
        <v>Prod-003</v>
      </c>
      <c r="E40" t="str">
        <f ca="1">r_choice(Branches!$A$2:$A$21)</f>
        <v>br-012</v>
      </c>
      <c r="F40" t="str">
        <f ca="1">r_choice(Employees!$A$2:$A$101)</f>
        <v>empl_026</v>
      </c>
      <c r="I40" t="str">
        <f t="shared" ca="1" si="1"/>
        <v>insert into Local_sales values ('Sale-033', 'cust-036', '03-Dec-2020', 'Prod-037', 'br-001', 'empl_031');</v>
      </c>
    </row>
    <row r="41" spans="1:9" x14ac:dyDescent="0.25">
      <c r="A41" t="s">
        <v>4408</v>
      </c>
      <c r="B41" t="str">
        <f ca="1">r_choice(Customers!$A$2:$A$301)</f>
        <v>cust-031</v>
      </c>
      <c r="C41" s="12">
        <f t="shared" ca="1" si="0"/>
        <v>44025</v>
      </c>
      <c r="D41" t="str">
        <f ca="1">r_choice(Games!$A$2:$A$41)</f>
        <v>Prod-039</v>
      </c>
      <c r="E41" t="str">
        <f ca="1">r_choice(Branches!$A$2:$A$21)</f>
        <v>br-017</v>
      </c>
      <c r="F41" t="str">
        <f ca="1">r_choice(Employees!$A$2:$A$101)</f>
        <v>empl_038</v>
      </c>
      <c r="I41" t="str">
        <f t="shared" ca="1" si="1"/>
        <v>insert into Local_sales values ('Sale-034', 'cust-265', '12-Apr-2020', 'Prod-012', 'br-015', 'empl_053');</v>
      </c>
    </row>
    <row r="42" spans="1:9" x14ac:dyDescent="0.25">
      <c r="A42" t="s">
        <v>4409</v>
      </c>
      <c r="B42" t="str">
        <f ca="1">r_choice(Customers!$A$2:$A$301)</f>
        <v>cust-238</v>
      </c>
      <c r="C42" s="12">
        <f t="shared" ca="1" si="0"/>
        <v>43957</v>
      </c>
      <c r="D42" t="str">
        <f ca="1">r_choice(Games!$A$2:$A$41)</f>
        <v>Prod-034</v>
      </c>
      <c r="E42" t="str">
        <f ca="1">r_choice(Branches!$A$2:$A$21)</f>
        <v>br-009</v>
      </c>
      <c r="F42" t="str">
        <f ca="1">r_choice(Employees!$A$2:$A$101)</f>
        <v>empl_031</v>
      </c>
      <c r="I42" t="str">
        <f t="shared" ca="1" si="1"/>
        <v>insert into Local_sales values ('Sale-035', 'cust-279', '19-Dec-2020', 'Prod-001', 'br-007', 'empl_077');</v>
      </c>
    </row>
    <row r="43" spans="1:9" x14ac:dyDescent="0.25">
      <c r="A43" t="s">
        <v>4410</v>
      </c>
      <c r="B43" t="str">
        <f ca="1">r_choice(Customers!$A$2:$A$301)</f>
        <v>cust-128</v>
      </c>
      <c r="C43" s="12">
        <f t="shared" ca="1" si="0"/>
        <v>43919</v>
      </c>
      <c r="D43" t="str">
        <f ca="1">r_choice(Games!$A$2:$A$41)</f>
        <v>Prod-031</v>
      </c>
      <c r="E43" t="str">
        <f ca="1">r_choice(Branches!$A$2:$A$21)</f>
        <v>br-002</v>
      </c>
      <c r="F43" t="str">
        <f ca="1">r_choice(Employees!$A$2:$A$101)</f>
        <v>empl_063</v>
      </c>
      <c r="I43" t="str">
        <f t="shared" ca="1" si="1"/>
        <v>insert into Local_sales values ('Sale-036', 'cust-183', '15-Jul-2020', 'Prod-002', 'br-013', 'empl_052');</v>
      </c>
    </row>
    <row r="44" spans="1:9" x14ac:dyDescent="0.25">
      <c r="A44" t="s">
        <v>4411</v>
      </c>
      <c r="B44" t="str">
        <f ca="1">r_choice(Customers!$A$2:$A$301)</f>
        <v>cust-179</v>
      </c>
      <c r="C44" s="12">
        <f t="shared" ca="1" si="0"/>
        <v>44108</v>
      </c>
      <c r="D44" t="str">
        <f ca="1">r_choice(Games!$A$2:$A$41)</f>
        <v>Prod-023</v>
      </c>
      <c r="E44" t="str">
        <f ca="1">r_choice(Branches!$A$2:$A$21)</f>
        <v>br-013</v>
      </c>
      <c r="F44" t="str">
        <f ca="1">r_choice(Employees!$A$2:$A$101)</f>
        <v>empl_027</v>
      </c>
      <c r="I44" t="str">
        <f t="shared" ca="1" si="1"/>
        <v>insert into Local_sales values ('Sale-037', 'cust-082', '09-Mar-2020', 'Prod-037', 'br-006', 'empl_054');</v>
      </c>
    </row>
    <row r="45" spans="1:9" x14ac:dyDescent="0.25">
      <c r="A45" t="s">
        <v>4412</v>
      </c>
      <c r="B45" t="str">
        <f ca="1">r_choice(Customers!$A$2:$A$301)</f>
        <v>cust-082</v>
      </c>
      <c r="C45" s="12">
        <f t="shared" ca="1" si="0"/>
        <v>44128</v>
      </c>
      <c r="D45" t="str">
        <f ca="1">r_choice(Games!$A$2:$A$41)</f>
        <v>Prod-020</v>
      </c>
      <c r="E45" t="str">
        <f ca="1">r_choice(Branches!$A$2:$A$21)</f>
        <v>br-007</v>
      </c>
      <c r="F45" t="str">
        <f ca="1">r_choice(Employees!$A$2:$A$101)</f>
        <v>empl_061</v>
      </c>
      <c r="I45" t="str">
        <f t="shared" ca="1" si="1"/>
        <v>insert into Local_sales values ('Sale-038', 'cust-242', '30-Apr-2020', 'Prod-034', 'br-010', 'empl_029');</v>
      </c>
    </row>
    <row r="46" spans="1:9" x14ac:dyDescent="0.25">
      <c r="A46" t="s">
        <v>4413</v>
      </c>
      <c r="B46" t="str">
        <f ca="1">r_choice(Customers!$A$2:$A$301)</f>
        <v>cust-043</v>
      </c>
      <c r="C46" s="12">
        <f t="shared" ca="1" si="0"/>
        <v>43955</v>
      </c>
      <c r="D46" t="str">
        <f ca="1">r_choice(Games!$A$2:$A$41)</f>
        <v>Prod-016</v>
      </c>
      <c r="E46" t="str">
        <f ca="1">r_choice(Branches!$A$2:$A$21)</f>
        <v>br-018</v>
      </c>
      <c r="F46" t="str">
        <f ca="1">r_choice(Employees!$A$2:$A$101)</f>
        <v>empl_023</v>
      </c>
      <c r="I46" t="str">
        <f t="shared" ca="1" si="1"/>
        <v>insert into Local_sales values ('Sale-039', 'cust-202', '14-May-2020', 'Prod-003', 'br-012', 'empl_026');</v>
      </c>
    </row>
    <row r="47" spans="1:9" x14ac:dyDescent="0.25">
      <c r="A47" t="s">
        <v>4414</v>
      </c>
      <c r="B47" t="str">
        <f ca="1">r_choice(Customers!$A$2:$A$301)</f>
        <v>cust-214</v>
      </c>
      <c r="C47" s="12">
        <f t="shared" ca="1" si="0"/>
        <v>43891</v>
      </c>
      <c r="D47" t="str">
        <f ca="1">r_choice(Games!$A$2:$A$41)</f>
        <v>Prod-017</v>
      </c>
      <c r="E47" t="str">
        <f ca="1">r_choice(Branches!$A$2:$A$21)</f>
        <v>br-006</v>
      </c>
      <c r="F47" t="str">
        <f ca="1">r_choice(Employees!$A$2:$A$101)</f>
        <v>empl_079</v>
      </c>
      <c r="I47" t="str">
        <f t="shared" ca="1" si="1"/>
        <v>insert into Local_sales values ('Sale-040', 'cust-031', '13-Jul-2020', 'Prod-039', 'br-017', 'empl_038');</v>
      </c>
    </row>
    <row r="48" spans="1:9" x14ac:dyDescent="0.25">
      <c r="A48" t="s">
        <v>4415</v>
      </c>
      <c r="B48" t="str">
        <f ca="1">r_choice(Customers!$A$2:$A$301)</f>
        <v>cust-085</v>
      </c>
      <c r="C48" s="12">
        <f t="shared" ca="1" si="0"/>
        <v>44027</v>
      </c>
      <c r="D48" t="str">
        <f ca="1">r_choice(Games!$A$2:$A$41)</f>
        <v>Prod-005</v>
      </c>
      <c r="E48" t="str">
        <f ca="1">r_choice(Branches!$A$2:$A$21)</f>
        <v>br-006</v>
      </c>
      <c r="F48" t="str">
        <f ca="1">r_choice(Employees!$A$2:$A$101)</f>
        <v>empl_079</v>
      </c>
      <c r="I48" t="str">
        <f t="shared" ca="1" si="1"/>
        <v>insert into Local_sales values ('Sale-041', 'cust-238', '06-May-2020', 'Prod-034', 'br-009', 'empl_031');</v>
      </c>
    </row>
    <row r="49" spans="1:9" x14ac:dyDescent="0.25">
      <c r="A49" t="s">
        <v>4416</v>
      </c>
      <c r="B49" t="str">
        <f ca="1">r_choice(Customers!$A$2:$A$301)</f>
        <v>cust-001</v>
      </c>
      <c r="C49" s="12">
        <f t="shared" ca="1" si="0"/>
        <v>43906</v>
      </c>
      <c r="D49" t="str">
        <f ca="1">r_choice(Games!$A$2:$A$41)</f>
        <v>Prod-010</v>
      </c>
      <c r="E49" t="str">
        <f ca="1">r_choice(Branches!$A$2:$A$21)</f>
        <v>br-006</v>
      </c>
      <c r="F49" t="str">
        <f ca="1">r_choice(Employees!$A$2:$A$101)</f>
        <v>empl_002</v>
      </c>
      <c r="I49" t="str">
        <f t="shared" ca="1" si="1"/>
        <v>insert into Local_sales values ('Sale-042', 'cust-128', '29-Mar-2020', 'Prod-031', 'br-002', 'empl_063');</v>
      </c>
    </row>
    <row r="50" spans="1:9" x14ac:dyDescent="0.25">
      <c r="A50" t="s">
        <v>4417</v>
      </c>
      <c r="B50" t="str">
        <f ca="1">r_choice(Customers!$A$2:$A$301)</f>
        <v>cust-183</v>
      </c>
      <c r="C50" s="12">
        <f t="shared" ca="1" si="0"/>
        <v>44148</v>
      </c>
      <c r="D50" t="str">
        <f ca="1">r_choice(Games!$A$2:$A$41)</f>
        <v>Prod-015</v>
      </c>
      <c r="E50" t="str">
        <f ca="1">r_choice(Branches!$A$2:$A$21)</f>
        <v>br-002</v>
      </c>
      <c r="F50" t="str">
        <f ca="1">r_choice(Employees!$A$2:$A$101)</f>
        <v>empl_024</v>
      </c>
      <c r="I50" t="str">
        <f t="shared" ca="1" si="1"/>
        <v>insert into Local_sales values ('Sale-043', 'cust-179', '04-Oct-2020', 'Prod-023', 'br-013', 'empl_027');</v>
      </c>
    </row>
    <row r="51" spans="1:9" x14ac:dyDescent="0.25">
      <c r="A51" t="s">
        <v>4418</v>
      </c>
      <c r="B51" t="str">
        <f ca="1">r_choice(Customers!$A$2:$A$301)</f>
        <v>cust-027</v>
      </c>
      <c r="C51" s="12">
        <f t="shared" ca="1" si="0"/>
        <v>43873</v>
      </c>
      <c r="D51" t="str">
        <f ca="1">r_choice(Games!$A$2:$A$41)</f>
        <v>Prod-040</v>
      </c>
      <c r="E51" t="str">
        <f ca="1">r_choice(Branches!$A$2:$A$21)</f>
        <v>br-015</v>
      </c>
      <c r="F51" t="str">
        <f ca="1">r_choice(Employees!$A$2:$A$101)</f>
        <v>empl_075</v>
      </c>
      <c r="I51" t="str">
        <f t="shared" ca="1" si="1"/>
        <v>insert into Local_sales values ('Sale-044', 'cust-082', '24-Oct-2020', 'Prod-020', 'br-007', 'empl_061');</v>
      </c>
    </row>
    <row r="52" spans="1:9" x14ac:dyDescent="0.25">
      <c r="A52" t="s">
        <v>4419</v>
      </c>
      <c r="B52" t="str">
        <f ca="1">r_choice(Customers!$A$2:$A$301)</f>
        <v>cust-071</v>
      </c>
      <c r="C52" s="12">
        <f t="shared" ca="1" si="0"/>
        <v>44060</v>
      </c>
      <c r="D52" t="str">
        <f ca="1">r_choice(Games!$A$2:$A$41)</f>
        <v>Prod-029</v>
      </c>
      <c r="E52" t="str">
        <f ca="1">r_choice(Branches!$A$2:$A$21)</f>
        <v>br-010</v>
      </c>
      <c r="F52" t="str">
        <f ca="1">r_choice(Employees!$A$2:$A$101)</f>
        <v>empl_098</v>
      </c>
      <c r="I52" t="str">
        <f t="shared" ca="1" si="1"/>
        <v>insert into Local_sales values ('Sale-045', 'cust-043', '04-May-2020', 'Prod-016', 'br-018', 'empl_023');</v>
      </c>
    </row>
    <row r="53" spans="1:9" x14ac:dyDescent="0.25">
      <c r="A53" t="s">
        <v>4420</v>
      </c>
      <c r="B53" t="str">
        <f ca="1">r_choice(Customers!$A$2:$A$301)</f>
        <v>cust-153</v>
      </c>
      <c r="C53" s="12">
        <f t="shared" ca="1" si="0"/>
        <v>44061</v>
      </c>
      <c r="D53" t="str">
        <f ca="1">r_choice(Games!$A$2:$A$41)</f>
        <v>Prod-010</v>
      </c>
      <c r="E53" t="str">
        <f ca="1">r_choice(Branches!$A$2:$A$21)</f>
        <v>br-015</v>
      </c>
      <c r="F53" t="str">
        <f ca="1">r_choice(Employees!$A$2:$A$101)</f>
        <v>empl_089</v>
      </c>
      <c r="I53" t="str">
        <f t="shared" ca="1" si="1"/>
        <v>insert into Local_sales values ('Sale-046', 'cust-214', '01-Mar-2020', 'Prod-017', 'br-006', 'empl_079');</v>
      </c>
    </row>
    <row r="54" spans="1:9" x14ac:dyDescent="0.25">
      <c r="A54" t="s">
        <v>4421</v>
      </c>
      <c r="B54" t="str">
        <f ca="1">r_choice(Customers!$A$2:$A$301)</f>
        <v>cust-259</v>
      </c>
      <c r="C54" s="12">
        <f t="shared" ca="1" si="0"/>
        <v>43864</v>
      </c>
      <c r="D54" t="str">
        <f ca="1">r_choice(Games!$A$2:$A$41)</f>
        <v>Prod-029</v>
      </c>
      <c r="E54" t="str">
        <f ca="1">r_choice(Branches!$A$2:$A$21)</f>
        <v>br-020</v>
      </c>
      <c r="F54" t="str">
        <f ca="1">r_choice(Employees!$A$2:$A$101)</f>
        <v>empl_056</v>
      </c>
      <c r="I54" t="str">
        <f t="shared" ca="1" si="1"/>
        <v>insert into Local_sales values ('Sale-047', 'cust-085', '15-Jul-2020', 'Prod-005', 'br-006', 'empl_079');</v>
      </c>
    </row>
    <row r="55" spans="1:9" x14ac:dyDescent="0.25">
      <c r="A55" t="s">
        <v>4422</v>
      </c>
      <c r="B55" t="str">
        <f ca="1">r_choice(Customers!$A$2:$A$301)</f>
        <v>cust-074</v>
      </c>
      <c r="C55" s="12">
        <f t="shared" ca="1" si="0"/>
        <v>43979</v>
      </c>
      <c r="D55" t="str">
        <f ca="1">r_choice(Games!$A$2:$A$41)</f>
        <v>Prod-038</v>
      </c>
      <c r="E55" t="str">
        <f ca="1">r_choice(Branches!$A$2:$A$21)</f>
        <v>br-012</v>
      </c>
      <c r="F55" t="str">
        <f ca="1">r_choice(Employees!$A$2:$A$101)</f>
        <v>empl_003</v>
      </c>
      <c r="I55" t="str">
        <f t="shared" ca="1" si="1"/>
        <v>insert into Local_sales values ('Sale-048', 'cust-001', '16-Mar-2020', 'Prod-010', 'br-006', 'empl_002');</v>
      </c>
    </row>
    <row r="56" spans="1:9" x14ac:dyDescent="0.25">
      <c r="A56" t="s">
        <v>4423</v>
      </c>
      <c r="B56" t="str">
        <f ca="1">r_choice(Customers!$A$2:$A$301)</f>
        <v>cust-129</v>
      </c>
      <c r="C56" s="12">
        <f t="shared" ca="1" si="0"/>
        <v>44101</v>
      </c>
      <c r="D56" t="str">
        <f ca="1">r_choice(Games!$A$2:$A$41)</f>
        <v>Prod-030</v>
      </c>
      <c r="E56" t="str">
        <f ca="1">r_choice(Branches!$A$2:$A$21)</f>
        <v>br-019</v>
      </c>
      <c r="F56" t="str">
        <f ca="1">r_choice(Employees!$A$2:$A$101)</f>
        <v>empl_012</v>
      </c>
      <c r="I56" t="str">
        <f t="shared" ca="1" si="1"/>
        <v>insert into Local_sales values ('Sale-049', 'cust-183', '13-Nov-2020', 'Prod-015', 'br-002', 'empl_024');</v>
      </c>
    </row>
    <row r="57" spans="1:9" x14ac:dyDescent="0.25">
      <c r="A57" t="s">
        <v>4424</v>
      </c>
      <c r="B57" t="str">
        <f ca="1">r_choice(Customers!$A$2:$A$301)</f>
        <v>cust-267</v>
      </c>
      <c r="C57" s="12">
        <f t="shared" ca="1" si="0"/>
        <v>44030</v>
      </c>
      <c r="D57" t="str">
        <f ca="1">r_choice(Games!$A$2:$A$41)</f>
        <v>Prod-023</v>
      </c>
      <c r="E57" t="str">
        <f ca="1">r_choice(Branches!$A$2:$A$21)</f>
        <v>br-014</v>
      </c>
      <c r="F57" t="str">
        <f ca="1">r_choice(Employees!$A$2:$A$101)</f>
        <v>empl_033</v>
      </c>
      <c r="I57" t="str">
        <f t="shared" ca="1" si="1"/>
        <v>insert into Local_sales values ('Sale-050', 'cust-027', '12-Feb-2020', 'Prod-040', 'br-015', 'empl_075');</v>
      </c>
    </row>
    <row r="58" spans="1:9" x14ac:dyDescent="0.25">
      <c r="A58" t="s">
        <v>4425</v>
      </c>
      <c r="B58" t="str">
        <f ca="1">r_choice(Customers!$A$2:$A$301)</f>
        <v>cust-126</v>
      </c>
      <c r="C58" s="12">
        <f t="shared" ca="1" si="0"/>
        <v>43916</v>
      </c>
      <c r="D58" t="str">
        <f ca="1">r_choice(Games!$A$2:$A$41)</f>
        <v>Prod-038</v>
      </c>
      <c r="E58" t="str">
        <f ca="1">r_choice(Branches!$A$2:$A$21)</f>
        <v>br-006</v>
      </c>
      <c r="F58" t="str">
        <f ca="1">r_choice(Employees!$A$2:$A$101)</f>
        <v>empl_035</v>
      </c>
      <c r="I58" t="str">
        <f t="shared" ca="1" si="1"/>
        <v>insert into Local_sales values ('Sale-051', 'cust-071', '17-Aug-2020', 'Prod-029', 'br-010', 'empl_098');</v>
      </c>
    </row>
    <row r="59" spans="1:9" x14ac:dyDescent="0.25">
      <c r="A59" t="s">
        <v>4426</v>
      </c>
      <c r="B59" t="str">
        <f ca="1">r_choice(Customers!$A$2:$A$301)</f>
        <v>cust-009</v>
      </c>
      <c r="C59" s="12">
        <f t="shared" ca="1" si="0"/>
        <v>44131</v>
      </c>
      <c r="D59" t="str">
        <f ca="1">r_choice(Games!$A$2:$A$41)</f>
        <v>Prod-008</v>
      </c>
      <c r="E59" t="str">
        <f ca="1">r_choice(Branches!$A$2:$A$21)</f>
        <v>br-015</v>
      </c>
      <c r="F59" t="str">
        <f ca="1">r_choice(Employees!$A$2:$A$101)</f>
        <v>empl_056</v>
      </c>
      <c r="I59" t="str">
        <f t="shared" ca="1" si="1"/>
        <v>insert into Local_sales values ('Sale-052', 'cust-153', '18-Aug-2020', 'Prod-010', 'br-015', 'empl_089');</v>
      </c>
    </row>
    <row r="60" spans="1:9" x14ac:dyDescent="0.25">
      <c r="A60" t="s">
        <v>4427</v>
      </c>
      <c r="B60" t="str">
        <f ca="1">r_choice(Customers!$A$2:$A$301)</f>
        <v>cust-019</v>
      </c>
      <c r="C60" s="12">
        <f t="shared" ca="1" si="0"/>
        <v>43978</v>
      </c>
      <c r="D60" t="str">
        <f ca="1">r_choice(Games!$A$2:$A$41)</f>
        <v>Prod-008</v>
      </c>
      <c r="E60" t="str">
        <f ca="1">r_choice(Branches!$A$2:$A$21)</f>
        <v>br-017</v>
      </c>
      <c r="F60" t="str">
        <f ca="1">r_choice(Employees!$A$2:$A$101)</f>
        <v>empl_100</v>
      </c>
      <c r="I60" t="str">
        <f t="shared" ca="1" si="1"/>
        <v>insert into Local_sales values ('Sale-053', 'cust-259', '03-Feb-2020', 'Prod-029', 'br-020', 'empl_056');</v>
      </c>
    </row>
    <row r="61" spans="1:9" x14ac:dyDescent="0.25">
      <c r="A61" t="s">
        <v>4428</v>
      </c>
      <c r="B61" t="str">
        <f ca="1">r_choice(Customers!$A$2:$A$301)</f>
        <v>cust-278</v>
      </c>
      <c r="C61" s="12">
        <f t="shared" ca="1" si="0"/>
        <v>44053</v>
      </c>
      <c r="D61" t="str">
        <f ca="1">r_choice(Games!$A$2:$A$41)</f>
        <v>Prod-039</v>
      </c>
      <c r="E61" t="str">
        <f ca="1">r_choice(Branches!$A$2:$A$21)</f>
        <v>br-003</v>
      </c>
      <c r="F61" t="str">
        <f ca="1">r_choice(Employees!$A$2:$A$101)</f>
        <v>empl_002</v>
      </c>
      <c r="I61" t="str">
        <f t="shared" ca="1" si="1"/>
        <v>insert into Local_sales values ('Sale-054', 'cust-074', '28-May-2020', 'Prod-038', 'br-012', 'empl_003');</v>
      </c>
    </row>
    <row r="62" spans="1:9" x14ac:dyDescent="0.25">
      <c r="A62" t="s">
        <v>4429</v>
      </c>
      <c r="B62" t="str">
        <f ca="1">r_choice(Customers!$A$2:$A$301)</f>
        <v>cust-250</v>
      </c>
      <c r="C62" s="12">
        <f t="shared" ca="1" si="0"/>
        <v>43874</v>
      </c>
      <c r="D62" t="str">
        <f ca="1">r_choice(Games!$A$2:$A$41)</f>
        <v>Prod-006</v>
      </c>
      <c r="E62" t="str">
        <f ca="1">r_choice(Branches!$A$2:$A$21)</f>
        <v>br-016</v>
      </c>
      <c r="F62" t="str">
        <f ca="1">r_choice(Employees!$A$2:$A$101)</f>
        <v>empl_094</v>
      </c>
      <c r="I62" t="str">
        <f t="shared" ca="1" si="1"/>
        <v>insert into Local_sales values ('Sale-055', 'cust-129', '27-Sep-2020', 'Prod-030', 'br-019', 'empl_012');</v>
      </c>
    </row>
    <row r="63" spans="1:9" x14ac:dyDescent="0.25">
      <c r="A63" t="s">
        <v>4430</v>
      </c>
      <c r="B63" t="str">
        <f ca="1">r_choice(Customers!$A$2:$A$301)</f>
        <v>cust-100</v>
      </c>
      <c r="C63" s="12">
        <f t="shared" ca="1" si="0"/>
        <v>44008</v>
      </c>
      <c r="D63" t="str">
        <f ca="1">r_choice(Games!$A$2:$A$41)</f>
        <v>Prod-014</v>
      </c>
      <c r="E63" t="str">
        <f ca="1">r_choice(Branches!$A$2:$A$21)</f>
        <v>br-014</v>
      </c>
      <c r="F63" t="str">
        <f ca="1">r_choice(Employees!$A$2:$A$101)</f>
        <v>empl_075</v>
      </c>
      <c r="I63" t="str">
        <f t="shared" ca="1" si="1"/>
        <v>insert into Local_sales values ('Sale-056', 'cust-267', '18-Jul-2020', 'Prod-023', 'br-014', 'empl_033');</v>
      </c>
    </row>
    <row r="64" spans="1:9" x14ac:dyDescent="0.25">
      <c r="A64" t="s">
        <v>4431</v>
      </c>
      <c r="B64" t="str">
        <f ca="1">r_choice(Customers!$A$2:$A$301)</f>
        <v>cust-214</v>
      </c>
      <c r="C64" s="12">
        <f t="shared" ca="1" si="0"/>
        <v>43963</v>
      </c>
      <c r="D64" t="str">
        <f ca="1">r_choice(Games!$A$2:$A$41)</f>
        <v>Prod-014</v>
      </c>
      <c r="E64" t="str">
        <f ca="1">r_choice(Branches!$A$2:$A$21)</f>
        <v>br-003</v>
      </c>
      <c r="F64" t="str">
        <f ca="1">r_choice(Employees!$A$2:$A$101)</f>
        <v>empl_093</v>
      </c>
      <c r="I64" t="str">
        <f t="shared" ca="1" si="1"/>
        <v>insert into Local_sales values ('Sale-057', 'cust-126', '26-Mar-2020', 'Prod-038', 'br-006', 'empl_035');</v>
      </c>
    </row>
    <row r="65" spans="1:9" x14ac:dyDescent="0.25">
      <c r="A65" t="s">
        <v>4432</v>
      </c>
      <c r="B65" t="str">
        <f ca="1">r_choice(Customers!$A$2:$A$301)</f>
        <v>cust-148</v>
      </c>
      <c r="C65" s="12">
        <f t="shared" ca="1" si="0"/>
        <v>43945</v>
      </c>
      <c r="D65" t="str">
        <f ca="1">r_choice(Games!$A$2:$A$41)</f>
        <v>Prod-003</v>
      </c>
      <c r="E65" t="str">
        <f ca="1">r_choice(Branches!$A$2:$A$21)</f>
        <v>br-002</v>
      </c>
      <c r="F65" t="str">
        <f ca="1">r_choice(Employees!$A$2:$A$101)</f>
        <v>empl_095</v>
      </c>
      <c r="I65" t="str">
        <f t="shared" ca="1" si="1"/>
        <v>insert into Local_sales values ('Sale-058', 'cust-009', '27-Oct-2020', 'Prod-008', 'br-015', 'empl_056');</v>
      </c>
    </row>
    <row r="66" spans="1:9" x14ac:dyDescent="0.25">
      <c r="A66" t="s">
        <v>4433</v>
      </c>
      <c r="B66" t="str">
        <f ca="1">r_choice(Customers!$A$2:$A$301)</f>
        <v>cust-125</v>
      </c>
      <c r="C66" s="12">
        <f t="shared" ca="1" si="0"/>
        <v>44114</v>
      </c>
      <c r="D66" t="str">
        <f ca="1">r_choice(Games!$A$2:$A$41)</f>
        <v>Prod-016</v>
      </c>
      <c r="E66" t="str">
        <f ca="1">r_choice(Branches!$A$2:$A$21)</f>
        <v>br-018</v>
      </c>
      <c r="F66" t="str">
        <f ca="1">r_choice(Employees!$A$2:$A$101)</f>
        <v>empl_069</v>
      </c>
      <c r="I66" t="str">
        <f t="shared" ca="1" si="1"/>
        <v>insert into Local_sales values ('Sale-059', 'cust-019', '27-May-2020', 'Prod-008', 'br-017', 'empl_100');</v>
      </c>
    </row>
    <row r="67" spans="1:9" x14ac:dyDescent="0.25">
      <c r="A67" t="s">
        <v>4434</v>
      </c>
      <c r="B67" t="str">
        <f ca="1">r_choice(Customers!$A$2:$A$301)</f>
        <v>cust-255</v>
      </c>
      <c r="C67" s="12">
        <f t="shared" ref="C67:C130" ca="1" si="2">r_date(2020,1,2020,12)</f>
        <v>44167</v>
      </c>
      <c r="D67" t="str">
        <f ca="1">r_choice(Games!$A$2:$A$41)</f>
        <v>Prod-009</v>
      </c>
      <c r="E67" t="str">
        <f ca="1">r_choice(Branches!$A$2:$A$21)</f>
        <v>br-017</v>
      </c>
      <c r="F67" t="str">
        <f ca="1">r_choice(Employees!$A$2:$A$101)</f>
        <v>empl_013</v>
      </c>
      <c r="I67" t="str">
        <f t="shared" ca="1" si="1"/>
        <v>insert into Local_sales values ('Sale-060', 'cust-278', '10-Aug-2020', 'Prod-039', 'br-003', 'empl_002');</v>
      </c>
    </row>
    <row r="68" spans="1:9" x14ac:dyDescent="0.25">
      <c r="A68" t="s">
        <v>4435</v>
      </c>
      <c r="B68" t="str">
        <f ca="1">r_choice(Customers!$A$2:$A$301)</f>
        <v>cust-151</v>
      </c>
      <c r="C68" s="12">
        <f t="shared" ca="1" si="2"/>
        <v>44006</v>
      </c>
      <c r="D68" t="str">
        <f ca="1">r_choice(Games!$A$2:$A$41)</f>
        <v>Prod-039</v>
      </c>
      <c r="E68" t="str">
        <f ca="1">r_choice(Branches!$A$2:$A$21)</f>
        <v>br-004</v>
      </c>
      <c r="F68" t="str">
        <f ca="1">r_choice(Employees!$A$2:$A$101)</f>
        <v>empl_055</v>
      </c>
      <c r="I68" t="str">
        <f t="shared" ca="1" si="1"/>
        <v>insert into Local_sales values ('Sale-061', 'cust-250', '13-Feb-2020', 'Prod-006', 'br-016', 'empl_094');</v>
      </c>
    </row>
    <row r="69" spans="1:9" x14ac:dyDescent="0.25">
      <c r="A69" t="s">
        <v>4436</v>
      </c>
      <c r="B69" t="str">
        <f ca="1">r_choice(Customers!$A$2:$A$301)</f>
        <v>cust-279</v>
      </c>
      <c r="C69" s="12">
        <f t="shared" ca="1" si="2"/>
        <v>43867</v>
      </c>
      <c r="D69" t="str">
        <f ca="1">r_choice(Games!$A$2:$A$41)</f>
        <v>Prod-032</v>
      </c>
      <c r="E69" t="str">
        <f ca="1">r_choice(Branches!$A$2:$A$21)</f>
        <v>br-016</v>
      </c>
      <c r="F69" t="str">
        <f ca="1">r_choice(Employees!$A$2:$A$101)</f>
        <v>empl_094</v>
      </c>
      <c r="I69" t="str">
        <f t="shared" ca="1" si="1"/>
        <v>insert into Local_sales values ('Sale-062', 'cust-100', '26-Jun-2020', 'Prod-014', 'br-014', 'empl_075');</v>
      </c>
    </row>
    <row r="70" spans="1:9" x14ac:dyDescent="0.25">
      <c r="A70" t="s">
        <v>4437</v>
      </c>
      <c r="B70" t="str">
        <f ca="1">r_choice(Customers!$A$2:$A$301)</f>
        <v>cust-132</v>
      </c>
      <c r="C70" s="12">
        <f t="shared" ca="1" si="2"/>
        <v>44148</v>
      </c>
      <c r="D70" t="str">
        <f ca="1">r_choice(Games!$A$2:$A$41)</f>
        <v>Prod-013</v>
      </c>
      <c r="E70" t="str">
        <f ca="1">r_choice(Branches!$A$2:$A$21)</f>
        <v>br-010</v>
      </c>
      <c r="F70" t="str">
        <f ca="1">r_choice(Employees!$A$2:$A$101)</f>
        <v>empl_064</v>
      </c>
      <c r="I70" t="str">
        <f t="shared" ca="1" si="1"/>
        <v>insert into Local_sales values ('Sale-063', 'cust-214', '12-May-2020', 'Prod-014', 'br-003', 'empl_093');</v>
      </c>
    </row>
    <row r="71" spans="1:9" x14ac:dyDescent="0.25">
      <c r="A71" t="s">
        <v>4438</v>
      </c>
      <c r="B71" t="str">
        <f ca="1">r_choice(Customers!$A$2:$A$301)</f>
        <v>cust-076</v>
      </c>
      <c r="C71" s="12">
        <f t="shared" ca="1" si="2"/>
        <v>44029</v>
      </c>
      <c r="D71" t="str">
        <f ca="1">r_choice(Games!$A$2:$A$41)</f>
        <v>Prod-034</v>
      </c>
      <c r="E71" t="str">
        <f ca="1">r_choice(Branches!$A$2:$A$21)</f>
        <v>br-018</v>
      </c>
      <c r="F71" t="str">
        <f ca="1">r_choice(Employees!$A$2:$A$101)</f>
        <v>empl_062</v>
      </c>
      <c r="I71" t="str">
        <f t="shared" ca="1" si="1"/>
        <v>insert into Local_sales values ('Sale-064', 'cust-148', '24-Apr-2020', 'Prod-003', 'br-002', 'empl_095');</v>
      </c>
    </row>
    <row r="72" spans="1:9" x14ac:dyDescent="0.25">
      <c r="A72" t="s">
        <v>4439</v>
      </c>
      <c r="B72" t="str">
        <f ca="1">r_choice(Customers!$A$2:$A$301)</f>
        <v>cust-021</v>
      </c>
      <c r="C72" s="12">
        <f t="shared" ca="1" si="2"/>
        <v>43999</v>
      </c>
      <c r="D72" t="str">
        <f ca="1">r_choice(Games!$A$2:$A$41)</f>
        <v>Prod-033</v>
      </c>
      <c r="E72" t="str">
        <f ca="1">r_choice(Branches!$A$2:$A$21)</f>
        <v>br-006</v>
      </c>
      <c r="F72" t="str">
        <f ca="1">r_choice(Employees!$A$2:$A$101)</f>
        <v>empl_016</v>
      </c>
      <c r="I72" t="str">
        <f t="shared" ref="I72:I135" ca="1" si="3">insertinto(A66:F66,$I$1:$J$6,"Local_sales")</f>
        <v>insert into Local_sales values ('Sale-065', 'cust-125', '10-Oct-2020', 'Prod-016', 'br-018', 'empl_069');</v>
      </c>
    </row>
    <row r="73" spans="1:9" x14ac:dyDescent="0.25">
      <c r="A73" t="s">
        <v>4440</v>
      </c>
      <c r="B73" t="str">
        <f ca="1">r_choice(Customers!$A$2:$A$301)</f>
        <v>cust-117</v>
      </c>
      <c r="C73" s="12">
        <f t="shared" ca="1" si="2"/>
        <v>43943</v>
      </c>
      <c r="D73" t="str">
        <f ca="1">r_choice(Games!$A$2:$A$41)</f>
        <v>Prod-001</v>
      </c>
      <c r="E73" t="str">
        <f ca="1">r_choice(Branches!$A$2:$A$21)</f>
        <v>br-013</v>
      </c>
      <c r="F73" t="str">
        <f ca="1">r_choice(Employees!$A$2:$A$101)</f>
        <v>empl_089</v>
      </c>
      <c r="I73" t="str">
        <f t="shared" ca="1" si="3"/>
        <v>insert into Local_sales values ('Sale-066', 'cust-255', '02-Dec-2020', 'Prod-009', 'br-017', 'empl_013');</v>
      </c>
    </row>
    <row r="74" spans="1:9" x14ac:dyDescent="0.25">
      <c r="A74" t="s">
        <v>4441</v>
      </c>
      <c r="B74" t="str">
        <f ca="1">r_choice(Customers!$A$2:$A$301)</f>
        <v>cust-194</v>
      </c>
      <c r="C74" s="12">
        <f t="shared" ca="1" si="2"/>
        <v>43909</v>
      </c>
      <c r="D74" t="str">
        <f ca="1">r_choice(Games!$A$2:$A$41)</f>
        <v>Prod-006</v>
      </c>
      <c r="E74" t="str">
        <f ca="1">r_choice(Branches!$A$2:$A$21)</f>
        <v>br-009</v>
      </c>
      <c r="F74" t="str">
        <f ca="1">r_choice(Employees!$A$2:$A$101)</f>
        <v>empl_012</v>
      </c>
      <c r="I74" t="str">
        <f t="shared" ca="1" si="3"/>
        <v>insert into Local_sales values ('Sale-067', 'cust-151', '24-Jun-2020', 'Prod-039', 'br-004', 'empl_055');</v>
      </c>
    </row>
    <row r="75" spans="1:9" x14ac:dyDescent="0.25">
      <c r="A75" t="s">
        <v>4442</v>
      </c>
      <c r="B75" t="str">
        <f ca="1">r_choice(Customers!$A$2:$A$301)</f>
        <v>cust-016</v>
      </c>
      <c r="C75" s="12">
        <f t="shared" ca="1" si="2"/>
        <v>43879</v>
      </c>
      <c r="D75" t="str">
        <f ca="1">r_choice(Games!$A$2:$A$41)</f>
        <v>Prod-034</v>
      </c>
      <c r="E75" t="str">
        <f ca="1">r_choice(Branches!$A$2:$A$21)</f>
        <v>br-002</v>
      </c>
      <c r="F75" t="str">
        <f ca="1">r_choice(Employees!$A$2:$A$101)</f>
        <v>empl_050</v>
      </c>
      <c r="I75" t="str">
        <f t="shared" ca="1" si="3"/>
        <v>insert into Local_sales values ('Sale-068', 'cust-279', '06-Feb-2020', 'Prod-032', 'br-016', 'empl_094');</v>
      </c>
    </row>
    <row r="76" spans="1:9" x14ac:dyDescent="0.25">
      <c r="A76" t="s">
        <v>4443</v>
      </c>
      <c r="B76" t="str">
        <f ca="1">r_choice(Customers!$A$2:$A$301)</f>
        <v>cust-204</v>
      </c>
      <c r="C76" s="12">
        <f t="shared" ca="1" si="2"/>
        <v>44125</v>
      </c>
      <c r="D76" t="str">
        <f ca="1">r_choice(Games!$A$2:$A$41)</f>
        <v>Prod-001</v>
      </c>
      <c r="E76" t="str">
        <f ca="1">r_choice(Branches!$A$2:$A$21)</f>
        <v>br-015</v>
      </c>
      <c r="F76" t="str">
        <f ca="1">r_choice(Employees!$A$2:$A$101)</f>
        <v>empl_051</v>
      </c>
      <c r="I76" t="str">
        <f t="shared" ca="1" si="3"/>
        <v>insert into Local_sales values ('Sale-069', 'cust-132', '13-Nov-2020', 'Prod-013', 'br-010', 'empl_064');</v>
      </c>
    </row>
    <row r="77" spans="1:9" x14ac:dyDescent="0.25">
      <c r="A77" t="s">
        <v>4444</v>
      </c>
      <c r="B77" t="str">
        <f ca="1">r_choice(Customers!$A$2:$A$301)</f>
        <v>cust-173</v>
      </c>
      <c r="C77" s="12">
        <f t="shared" ca="1" si="2"/>
        <v>44088</v>
      </c>
      <c r="D77" t="str">
        <f ca="1">r_choice(Games!$A$2:$A$41)</f>
        <v>Prod-019</v>
      </c>
      <c r="E77" t="str">
        <f ca="1">r_choice(Branches!$A$2:$A$21)</f>
        <v>br-004</v>
      </c>
      <c r="F77" t="str">
        <f ca="1">r_choice(Employees!$A$2:$A$101)</f>
        <v>empl_084</v>
      </c>
      <c r="I77" t="str">
        <f t="shared" ca="1" si="3"/>
        <v>insert into Local_sales values ('Sale-070', 'cust-076', '17-Jul-2020', 'Prod-034', 'br-018', 'empl_062');</v>
      </c>
    </row>
    <row r="78" spans="1:9" x14ac:dyDescent="0.25">
      <c r="A78" t="s">
        <v>4445</v>
      </c>
      <c r="B78" t="str">
        <f ca="1">r_choice(Customers!$A$2:$A$301)</f>
        <v>cust-136</v>
      </c>
      <c r="C78" s="12">
        <f t="shared" ca="1" si="2"/>
        <v>43960</v>
      </c>
      <c r="D78" t="str">
        <f ca="1">r_choice(Games!$A$2:$A$41)</f>
        <v>Prod-018</v>
      </c>
      <c r="E78" t="str">
        <f ca="1">r_choice(Branches!$A$2:$A$21)</f>
        <v>br-019</v>
      </c>
      <c r="F78" t="str">
        <f ca="1">r_choice(Employees!$A$2:$A$101)</f>
        <v>empl_072</v>
      </c>
      <c r="I78" t="str">
        <f t="shared" ca="1" si="3"/>
        <v>insert into Local_sales values ('Sale-071', 'cust-021', '17-Jun-2020', 'Prod-033', 'br-006', 'empl_016');</v>
      </c>
    </row>
    <row r="79" spans="1:9" x14ac:dyDescent="0.25">
      <c r="A79" t="s">
        <v>4446</v>
      </c>
      <c r="B79" t="str">
        <f ca="1">r_choice(Customers!$A$2:$A$301)</f>
        <v>cust-111</v>
      </c>
      <c r="C79" s="12">
        <f t="shared" ca="1" si="2"/>
        <v>44074</v>
      </c>
      <c r="D79" t="str">
        <f ca="1">r_choice(Games!$A$2:$A$41)</f>
        <v>Prod-007</v>
      </c>
      <c r="E79" t="str">
        <f ca="1">r_choice(Branches!$A$2:$A$21)</f>
        <v>br-015</v>
      </c>
      <c r="F79" t="str">
        <f ca="1">r_choice(Employees!$A$2:$A$101)</f>
        <v>empl_073</v>
      </c>
      <c r="I79" t="str">
        <f t="shared" ca="1" si="3"/>
        <v>insert into Local_sales values ('Sale-072', 'cust-117', '22-Apr-2020', 'Prod-001', 'br-013', 'empl_089');</v>
      </c>
    </row>
    <row r="80" spans="1:9" x14ac:dyDescent="0.25">
      <c r="A80" t="s">
        <v>4447</v>
      </c>
      <c r="B80" t="str">
        <f ca="1">r_choice(Customers!$A$2:$A$301)</f>
        <v>cust-200</v>
      </c>
      <c r="C80" s="12">
        <f t="shared" ca="1" si="2"/>
        <v>43853</v>
      </c>
      <c r="D80" t="str">
        <f ca="1">r_choice(Games!$A$2:$A$41)</f>
        <v>Prod-025</v>
      </c>
      <c r="E80" t="str">
        <f ca="1">r_choice(Branches!$A$2:$A$21)</f>
        <v>br-010</v>
      </c>
      <c r="F80" t="str">
        <f ca="1">r_choice(Employees!$A$2:$A$101)</f>
        <v>empl_100</v>
      </c>
      <c r="I80" t="str">
        <f t="shared" ca="1" si="3"/>
        <v>insert into Local_sales values ('Sale-073', 'cust-194', '19-Mar-2020', 'Prod-006', 'br-009', 'empl_012');</v>
      </c>
    </row>
    <row r="81" spans="1:9" x14ac:dyDescent="0.25">
      <c r="A81" t="s">
        <v>4448</v>
      </c>
      <c r="B81" t="str">
        <f ca="1">r_choice(Customers!$A$2:$A$301)</f>
        <v>cust-104</v>
      </c>
      <c r="C81" s="12">
        <f t="shared" ca="1" si="2"/>
        <v>44081</v>
      </c>
      <c r="D81" t="str">
        <f ca="1">r_choice(Games!$A$2:$A$41)</f>
        <v>Prod-039</v>
      </c>
      <c r="E81" t="str">
        <f ca="1">r_choice(Branches!$A$2:$A$21)</f>
        <v>br-007</v>
      </c>
      <c r="F81" t="str">
        <f ca="1">r_choice(Employees!$A$2:$A$101)</f>
        <v>empl_009</v>
      </c>
      <c r="I81" t="str">
        <f t="shared" ca="1" si="3"/>
        <v>insert into Local_sales values ('Sale-074', 'cust-016', '18-Feb-2020', 'Prod-034', 'br-002', 'empl_050');</v>
      </c>
    </row>
    <row r="82" spans="1:9" x14ac:dyDescent="0.25">
      <c r="A82" t="s">
        <v>4449</v>
      </c>
      <c r="B82" t="str">
        <f ca="1">r_choice(Customers!$A$2:$A$301)</f>
        <v>cust-136</v>
      </c>
      <c r="C82" s="12">
        <f t="shared" ca="1" si="2"/>
        <v>43943</v>
      </c>
      <c r="D82" t="str">
        <f ca="1">r_choice(Games!$A$2:$A$41)</f>
        <v>Prod-016</v>
      </c>
      <c r="E82" t="str">
        <f ca="1">r_choice(Branches!$A$2:$A$21)</f>
        <v>br-018</v>
      </c>
      <c r="F82" t="str">
        <f ca="1">r_choice(Employees!$A$2:$A$101)</f>
        <v>empl_008</v>
      </c>
      <c r="I82" t="str">
        <f t="shared" ca="1" si="3"/>
        <v>insert into Local_sales values ('Sale-075', 'cust-204', '21-Oct-2020', 'Prod-001', 'br-015', 'empl_051');</v>
      </c>
    </row>
    <row r="83" spans="1:9" x14ac:dyDescent="0.25">
      <c r="A83" t="s">
        <v>4450</v>
      </c>
      <c r="B83" t="str">
        <f ca="1">r_choice(Customers!$A$2:$A$301)</f>
        <v>cust-012</v>
      </c>
      <c r="C83" s="12">
        <f t="shared" ca="1" si="2"/>
        <v>43887</v>
      </c>
      <c r="D83" t="str">
        <f ca="1">r_choice(Games!$A$2:$A$41)</f>
        <v>Prod-022</v>
      </c>
      <c r="E83" t="str">
        <f ca="1">r_choice(Branches!$A$2:$A$21)</f>
        <v>br-002</v>
      </c>
      <c r="F83" t="str">
        <f ca="1">r_choice(Employees!$A$2:$A$101)</f>
        <v>empl_015</v>
      </c>
      <c r="I83" t="str">
        <f t="shared" ca="1" si="3"/>
        <v>insert into Local_sales values ('Sale-076', 'cust-173', '14-Sep-2020', 'Prod-019', 'br-004', 'empl_084');</v>
      </c>
    </row>
    <row r="84" spans="1:9" x14ac:dyDescent="0.25">
      <c r="A84" t="s">
        <v>4451</v>
      </c>
      <c r="B84" t="str">
        <f ca="1">r_choice(Customers!$A$2:$A$301)</f>
        <v>cust-132</v>
      </c>
      <c r="C84" s="12">
        <f t="shared" ca="1" si="2"/>
        <v>43988</v>
      </c>
      <c r="D84" t="str">
        <f ca="1">r_choice(Games!$A$2:$A$41)</f>
        <v>Prod-038</v>
      </c>
      <c r="E84" t="str">
        <f ca="1">r_choice(Branches!$A$2:$A$21)</f>
        <v>br-004</v>
      </c>
      <c r="F84" t="str">
        <f ca="1">r_choice(Employees!$A$2:$A$101)</f>
        <v>empl_044</v>
      </c>
      <c r="I84" t="str">
        <f t="shared" ca="1" si="3"/>
        <v>insert into Local_sales values ('Sale-077', 'cust-136', '09-May-2020', 'Prod-018', 'br-019', 'empl_072');</v>
      </c>
    </row>
    <row r="85" spans="1:9" x14ac:dyDescent="0.25">
      <c r="A85" t="s">
        <v>4452</v>
      </c>
      <c r="B85" t="str">
        <f ca="1">r_choice(Customers!$A$2:$A$301)</f>
        <v>cust-170</v>
      </c>
      <c r="C85" s="12">
        <f t="shared" ca="1" si="2"/>
        <v>43989</v>
      </c>
      <c r="D85" t="str">
        <f ca="1">r_choice(Games!$A$2:$A$41)</f>
        <v>Prod-022</v>
      </c>
      <c r="E85" t="str">
        <f ca="1">r_choice(Branches!$A$2:$A$21)</f>
        <v>br-016</v>
      </c>
      <c r="F85" t="str">
        <f ca="1">r_choice(Employees!$A$2:$A$101)</f>
        <v>empl_031</v>
      </c>
      <c r="I85" t="str">
        <f t="shared" ca="1" si="3"/>
        <v>insert into Local_sales values ('Sale-078', 'cust-111', '31-Aug-2020', 'Prod-007', 'br-015', 'empl_073');</v>
      </c>
    </row>
    <row r="86" spans="1:9" x14ac:dyDescent="0.25">
      <c r="A86" t="s">
        <v>4453</v>
      </c>
      <c r="B86" t="str">
        <f ca="1">r_choice(Customers!$A$2:$A$301)</f>
        <v>cust-290</v>
      </c>
      <c r="C86" s="12">
        <f t="shared" ca="1" si="2"/>
        <v>44071</v>
      </c>
      <c r="D86" t="str">
        <f ca="1">r_choice(Games!$A$2:$A$41)</f>
        <v>Prod-040</v>
      </c>
      <c r="E86" t="str">
        <f ca="1">r_choice(Branches!$A$2:$A$21)</f>
        <v>br-007</v>
      </c>
      <c r="F86" t="str">
        <f ca="1">r_choice(Employees!$A$2:$A$101)</f>
        <v>empl_051</v>
      </c>
      <c r="I86" t="str">
        <f t="shared" ca="1" si="3"/>
        <v>insert into Local_sales values ('Sale-079', 'cust-200', '23-Jan-2020', 'Prod-025', 'br-010', 'empl_100');</v>
      </c>
    </row>
    <row r="87" spans="1:9" x14ac:dyDescent="0.25">
      <c r="A87" t="s">
        <v>4454</v>
      </c>
      <c r="B87" t="str">
        <f ca="1">r_choice(Customers!$A$2:$A$301)</f>
        <v>cust-268</v>
      </c>
      <c r="C87" s="12">
        <f t="shared" ca="1" si="2"/>
        <v>43936</v>
      </c>
      <c r="D87" t="str">
        <f ca="1">r_choice(Games!$A$2:$A$41)</f>
        <v>Prod-030</v>
      </c>
      <c r="E87" t="str">
        <f ca="1">r_choice(Branches!$A$2:$A$21)</f>
        <v>br-015</v>
      </c>
      <c r="F87" t="str">
        <f ca="1">r_choice(Employees!$A$2:$A$101)</f>
        <v>empl_034</v>
      </c>
      <c r="I87" t="str">
        <f t="shared" ca="1" si="3"/>
        <v>insert into Local_sales values ('Sale-080', 'cust-104', '07-Sep-2020', 'Prod-039', 'br-007', 'empl_009');</v>
      </c>
    </row>
    <row r="88" spans="1:9" x14ac:dyDescent="0.25">
      <c r="A88" t="s">
        <v>4455</v>
      </c>
      <c r="B88" t="str">
        <f ca="1">r_choice(Customers!$A$2:$A$301)</f>
        <v>cust-020</v>
      </c>
      <c r="C88" s="12">
        <f t="shared" ca="1" si="2"/>
        <v>44115</v>
      </c>
      <c r="D88" t="str">
        <f ca="1">r_choice(Games!$A$2:$A$41)</f>
        <v>Prod-004</v>
      </c>
      <c r="E88" t="str">
        <f ca="1">r_choice(Branches!$A$2:$A$21)</f>
        <v>br-015</v>
      </c>
      <c r="F88" t="str">
        <f ca="1">r_choice(Employees!$A$2:$A$101)</f>
        <v>empl_068</v>
      </c>
      <c r="I88" t="str">
        <f t="shared" ca="1" si="3"/>
        <v>insert into Local_sales values ('Sale-081', 'cust-136', '22-Apr-2020', 'Prod-016', 'br-018', 'empl_008');</v>
      </c>
    </row>
    <row r="89" spans="1:9" x14ac:dyDescent="0.25">
      <c r="A89" t="s">
        <v>4456</v>
      </c>
      <c r="B89" t="str">
        <f ca="1">r_choice(Customers!$A$2:$A$301)</f>
        <v>cust-188</v>
      </c>
      <c r="C89" s="12">
        <f t="shared" ca="1" si="2"/>
        <v>43886</v>
      </c>
      <c r="D89" t="str">
        <f ca="1">r_choice(Games!$A$2:$A$41)</f>
        <v>Prod-021</v>
      </c>
      <c r="E89" t="str">
        <f ca="1">r_choice(Branches!$A$2:$A$21)</f>
        <v>br-017</v>
      </c>
      <c r="F89" t="str">
        <f ca="1">r_choice(Employees!$A$2:$A$101)</f>
        <v>empl_067</v>
      </c>
      <c r="I89" t="str">
        <f t="shared" ca="1" si="3"/>
        <v>insert into Local_sales values ('Sale-082', 'cust-012', '26-Feb-2020', 'Prod-022', 'br-002', 'empl_015');</v>
      </c>
    </row>
    <row r="90" spans="1:9" x14ac:dyDescent="0.25">
      <c r="A90" t="s">
        <v>4457</v>
      </c>
      <c r="B90" t="str">
        <f ca="1">r_choice(Customers!$A$2:$A$301)</f>
        <v>cust-116</v>
      </c>
      <c r="C90" s="12">
        <f t="shared" ca="1" si="2"/>
        <v>44077</v>
      </c>
      <c r="D90" t="str">
        <f ca="1">r_choice(Games!$A$2:$A$41)</f>
        <v>Prod-028</v>
      </c>
      <c r="E90" t="str">
        <f ca="1">r_choice(Branches!$A$2:$A$21)</f>
        <v>br-017</v>
      </c>
      <c r="F90" t="str">
        <f ca="1">r_choice(Employees!$A$2:$A$101)</f>
        <v>empl_077</v>
      </c>
      <c r="I90" t="str">
        <f t="shared" ca="1" si="3"/>
        <v>insert into Local_sales values ('Sale-083', 'cust-132', '06-Jun-2020', 'Prod-038', 'br-004', 'empl_044');</v>
      </c>
    </row>
    <row r="91" spans="1:9" x14ac:dyDescent="0.25">
      <c r="A91" t="s">
        <v>4458</v>
      </c>
      <c r="B91" t="str">
        <f ca="1">r_choice(Customers!$A$2:$A$301)</f>
        <v>cust-052</v>
      </c>
      <c r="C91" s="12">
        <f t="shared" ca="1" si="2"/>
        <v>43985</v>
      </c>
      <c r="D91" t="str">
        <f ca="1">r_choice(Games!$A$2:$A$41)</f>
        <v>Prod-001</v>
      </c>
      <c r="E91" t="str">
        <f ca="1">r_choice(Branches!$A$2:$A$21)</f>
        <v>br-013</v>
      </c>
      <c r="F91" t="str">
        <f ca="1">r_choice(Employees!$A$2:$A$101)</f>
        <v>empl_056</v>
      </c>
      <c r="I91" t="str">
        <f t="shared" ca="1" si="3"/>
        <v>insert into Local_sales values ('Sale-084', 'cust-170', '07-Jun-2020', 'Prod-022', 'br-016', 'empl_031');</v>
      </c>
    </row>
    <row r="92" spans="1:9" x14ac:dyDescent="0.25">
      <c r="A92" t="s">
        <v>4459</v>
      </c>
      <c r="B92" t="str">
        <f ca="1">r_choice(Customers!$A$2:$A$301)</f>
        <v>cust-245</v>
      </c>
      <c r="C92" s="12">
        <f t="shared" ca="1" si="2"/>
        <v>43921</v>
      </c>
      <c r="D92" t="str">
        <f ca="1">r_choice(Games!$A$2:$A$41)</f>
        <v>Prod-023</v>
      </c>
      <c r="E92" t="str">
        <f ca="1">r_choice(Branches!$A$2:$A$21)</f>
        <v>br-001</v>
      </c>
      <c r="F92" t="str">
        <f ca="1">r_choice(Employees!$A$2:$A$101)</f>
        <v>empl_091</v>
      </c>
      <c r="I92" t="str">
        <f t="shared" ca="1" si="3"/>
        <v>insert into Local_sales values ('Sale-085', 'cust-290', '28-Aug-2020', 'Prod-040', 'br-007', 'empl_051');</v>
      </c>
    </row>
    <row r="93" spans="1:9" x14ac:dyDescent="0.25">
      <c r="A93" t="s">
        <v>4460</v>
      </c>
      <c r="B93" t="str">
        <f ca="1">r_choice(Customers!$A$2:$A$301)</f>
        <v>cust-045</v>
      </c>
      <c r="C93" s="12">
        <f t="shared" ca="1" si="2"/>
        <v>44129</v>
      </c>
      <c r="D93" t="str">
        <f ca="1">r_choice(Games!$A$2:$A$41)</f>
        <v>Prod-034</v>
      </c>
      <c r="E93" t="str">
        <f ca="1">r_choice(Branches!$A$2:$A$21)</f>
        <v>br-006</v>
      </c>
      <c r="F93" t="str">
        <f ca="1">r_choice(Employees!$A$2:$A$101)</f>
        <v>empl_018</v>
      </c>
      <c r="I93" t="str">
        <f t="shared" ca="1" si="3"/>
        <v>insert into Local_sales values ('Sale-086', 'cust-268', '15-Apr-2020', 'Prod-030', 'br-015', 'empl_034');</v>
      </c>
    </row>
    <row r="94" spans="1:9" x14ac:dyDescent="0.25">
      <c r="A94" t="s">
        <v>4461</v>
      </c>
      <c r="B94" t="str">
        <f ca="1">r_choice(Customers!$A$2:$A$301)</f>
        <v>cust-253</v>
      </c>
      <c r="C94" s="12">
        <f t="shared" ca="1" si="2"/>
        <v>44065</v>
      </c>
      <c r="D94" t="str">
        <f ca="1">r_choice(Games!$A$2:$A$41)</f>
        <v>Prod-002</v>
      </c>
      <c r="E94" t="str">
        <f ca="1">r_choice(Branches!$A$2:$A$21)</f>
        <v>br-001</v>
      </c>
      <c r="F94" t="str">
        <f ca="1">r_choice(Employees!$A$2:$A$101)</f>
        <v>empl_074</v>
      </c>
      <c r="I94" t="str">
        <f t="shared" ca="1" si="3"/>
        <v>insert into Local_sales values ('Sale-087', 'cust-020', '11-Oct-2020', 'Prod-004', 'br-015', 'empl_068');</v>
      </c>
    </row>
    <row r="95" spans="1:9" x14ac:dyDescent="0.25">
      <c r="A95" t="s">
        <v>4462</v>
      </c>
      <c r="B95" t="str">
        <f ca="1">r_choice(Customers!$A$2:$A$301)</f>
        <v>cust-040</v>
      </c>
      <c r="C95" s="12">
        <f t="shared" ca="1" si="2"/>
        <v>43883</v>
      </c>
      <c r="D95" t="str">
        <f ca="1">r_choice(Games!$A$2:$A$41)</f>
        <v>Prod-019</v>
      </c>
      <c r="E95" t="str">
        <f ca="1">r_choice(Branches!$A$2:$A$21)</f>
        <v>br-019</v>
      </c>
      <c r="F95" t="str">
        <f ca="1">r_choice(Employees!$A$2:$A$101)</f>
        <v>empl_028</v>
      </c>
      <c r="I95" t="str">
        <f t="shared" ca="1" si="3"/>
        <v>insert into Local_sales values ('Sale-088', 'cust-188', '25-Feb-2020', 'Prod-021', 'br-017', 'empl_067');</v>
      </c>
    </row>
    <row r="96" spans="1:9" x14ac:dyDescent="0.25">
      <c r="A96" t="s">
        <v>4463</v>
      </c>
      <c r="B96" t="str">
        <f ca="1">r_choice(Customers!$A$2:$A$301)</f>
        <v>cust-019</v>
      </c>
      <c r="C96" s="12">
        <f t="shared" ca="1" si="2"/>
        <v>44179</v>
      </c>
      <c r="D96" t="str">
        <f ca="1">r_choice(Games!$A$2:$A$41)</f>
        <v>Prod-008</v>
      </c>
      <c r="E96" t="str">
        <f ca="1">r_choice(Branches!$A$2:$A$21)</f>
        <v>br-019</v>
      </c>
      <c r="F96" t="str">
        <f ca="1">r_choice(Employees!$A$2:$A$101)</f>
        <v>empl_039</v>
      </c>
      <c r="I96" t="str">
        <f t="shared" ca="1" si="3"/>
        <v>insert into Local_sales values ('Sale-089', 'cust-116', '03-Sep-2020', 'Prod-028', 'br-017', 'empl_077');</v>
      </c>
    </row>
    <row r="97" spans="1:9" x14ac:dyDescent="0.25">
      <c r="A97" t="s">
        <v>4464</v>
      </c>
      <c r="B97" t="str">
        <f ca="1">r_choice(Customers!$A$2:$A$301)</f>
        <v>cust-209</v>
      </c>
      <c r="C97" s="12">
        <f t="shared" ca="1" si="2"/>
        <v>43896</v>
      </c>
      <c r="D97" t="str">
        <f ca="1">r_choice(Games!$A$2:$A$41)</f>
        <v>Prod-018</v>
      </c>
      <c r="E97" t="str">
        <f ca="1">r_choice(Branches!$A$2:$A$21)</f>
        <v>br-020</v>
      </c>
      <c r="F97" t="str">
        <f ca="1">r_choice(Employees!$A$2:$A$101)</f>
        <v>empl_062</v>
      </c>
      <c r="I97" t="str">
        <f t="shared" ca="1" si="3"/>
        <v>insert into Local_sales values ('Sale-090', 'cust-052', '03-Jun-2020', 'Prod-001', 'br-013', 'empl_056');</v>
      </c>
    </row>
    <row r="98" spans="1:9" x14ac:dyDescent="0.25">
      <c r="A98" t="s">
        <v>4465</v>
      </c>
      <c r="B98" t="str">
        <f ca="1">r_choice(Customers!$A$2:$A$301)</f>
        <v>cust-253</v>
      </c>
      <c r="C98" s="12">
        <f t="shared" ca="1" si="2"/>
        <v>44020</v>
      </c>
      <c r="D98" t="str">
        <f ca="1">r_choice(Games!$A$2:$A$41)</f>
        <v>Prod-013</v>
      </c>
      <c r="E98" t="str">
        <f ca="1">r_choice(Branches!$A$2:$A$21)</f>
        <v>br-008</v>
      </c>
      <c r="F98" t="str">
        <f ca="1">r_choice(Employees!$A$2:$A$101)</f>
        <v>empl_073</v>
      </c>
      <c r="I98" t="str">
        <f t="shared" ca="1" si="3"/>
        <v>insert into Local_sales values ('Sale-091', 'cust-245', '31-Mar-2020', 'Prod-023', 'br-001', 'empl_091');</v>
      </c>
    </row>
    <row r="99" spans="1:9" x14ac:dyDescent="0.25">
      <c r="A99" t="s">
        <v>4466</v>
      </c>
      <c r="B99" t="str">
        <f ca="1">r_choice(Customers!$A$2:$A$301)</f>
        <v>cust-160</v>
      </c>
      <c r="C99" s="12">
        <f t="shared" ca="1" si="2"/>
        <v>44031</v>
      </c>
      <c r="D99" t="str">
        <f ca="1">r_choice(Games!$A$2:$A$41)</f>
        <v>Prod-006</v>
      </c>
      <c r="E99" t="str">
        <f ca="1">r_choice(Branches!$A$2:$A$21)</f>
        <v>br-003</v>
      </c>
      <c r="F99" t="str">
        <f ca="1">r_choice(Employees!$A$2:$A$101)</f>
        <v>empl_030</v>
      </c>
      <c r="I99" t="str">
        <f t="shared" ca="1" si="3"/>
        <v>insert into Local_sales values ('Sale-092', 'cust-045', '25-Oct-2020', 'Prod-034', 'br-006', 'empl_018');</v>
      </c>
    </row>
    <row r="100" spans="1:9" x14ac:dyDescent="0.25">
      <c r="A100" t="s">
        <v>4467</v>
      </c>
      <c r="B100" t="str">
        <f ca="1">r_choice(Customers!$A$2:$A$301)</f>
        <v>cust-297</v>
      </c>
      <c r="C100" s="12">
        <f t="shared" ca="1" si="2"/>
        <v>43845</v>
      </c>
      <c r="D100" t="str">
        <f ca="1">r_choice(Games!$A$2:$A$41)</f>
        <v>Prod-035</v>
      </c>
      <c r="E100" t="str">
        <f ca="1">r_choice(Branches!$A$2:$A$21)</f>
        <v>br-008</v>
      </c>
      <c r="F100" t="str">
        <f ca="1">r_choice(Employees!$A$2:$A$101)</f>
        <v>empl_085</v>
      </c>
      <c r="I100" t="str">
        <f t="shared" ca="1" si="3"/>
        <v>insert into Local_sales values ('Sale-093', 'cust-253', '22-Aug-2020', 'Prod-002', 'br-001', 'empl_074');</v>
      </c>
    </row>
    <row r="101" spans="1:9" x14ac:dyDescent="0.25">
      <c r="A101" t="s">
        <v>4468</v>
      </c>
      <c r="B101" t="str">
        <f ca="1">r_choice(Customers!$A$2:$A$301)</f>
        <v>cust-003</v>
      </c>
      <c r="C101" s="12">
        <f t="shared" ca="1" si="2"/>
        <v>43872</v>
      </c>
      <c r="D101" t="str">
        <f ca="1">r_choice(Games!$A$2:$A$41)</f>
        <v>Prod-016</v>
      </c>
      <c r="E101" t="str">
        <f ca="1">r_choice(Branches!$A$2:$A$21)</f>
        <v>br-012</v>
      </c>
      <c r="F101" t="str">
        <f ca="1">r_choice(Employees!$A$2:$A$101)</f>
        <v>empl_022</v>
      </c>
      <c r="I101" t="str">
        <f t="shared" ca="1" si="3"/>
        <v>insert into Local_sales values ('Sale-094', 'cust-040', '22-Feb-2020', 'Prod-019', 'br-019', 'empl_028');</v>
      </c>
    </row>
    <row r="102" spans="1:9" x14ac:dyDescent="0.25">
      <c r="A102" t="s">
        <v>4998</v>
      </c>
      <c r="B102" t="str">
        <f ca="1">r_choice(Customers!$A$2:$A$301)</f>
        <v>cust-053</v>
      </c>
      <c r="C102" s="12">
        <f t="shared" ca="1" si="2"/>
        <v>43899</v>
      </c>
      <c r="D102" t="str">
        <f ca="1">r_choice(Games!$A$2:$A$41)</f>
        <v>Prod-018</v>
      </c>
      <c r="E102" t="str">
        <f ca="1">r_choice(Branches!$A$2:$A$21)</f>
        <v>br-015</v>
      </c>
      <c r="F102" t="str">
        <f ca="1">r_choice(Employees!$A$2:$A$101)</f>
        <v>empl_001</v>
      </c>
      <c r="I102" t="str">
        <f t="shared" ca="1" si="3"/>
        <v>insert into Local_sales values ('Sale-095', 'cust-019', '14-Dec-2020', 'Prod-008', 'br-019', 'empl_039');</v>
      </c>
    </row>
    <row r="103" spans="1:9" x14ac:dyDescent="0.25">
      <c r="A103" t="s">
        <v>4999</v>
      </c>
      <c r="B103" t="str">
        <f ca="1">r_choice(Customers!$A$2:$A$301)</f>
        <v>cust-057</v>
      </c>
      <c r="C103" s="12">
        <f t="shared" ca="1" si="2"/>
        <v>44163</v>
      </c>
      <c r="D103" t="str">
        <f ca="1">r_choice(Games!$A$2:$A$41)</f>
        <v>Prod-001</v>
      </c>
      <c r="E103" t="str">
        <f ca="1">r_choice(Branches!$A$2:$A$21)</f>
        <v>br-017</v>
      </c>
      <c r="F103" t="str">
        <f ca="1">r_choice(Employees!$A$2:$A$101)</f>
        <v>empl_039</v>
      </c>
      <c r="I103" t="str">
        <f t="shared" ca="1" si="3"/>
        <v>insert into Local_sales values ('Sale-096', 'cust-209', '06-Mar-2020', 'Prod-018', 'br-020', 'empl_062');</v>
      </c>
    </row>
    <row r="104" spans="1:9" x14ac:dyDescent="0.25">
      <c r="A104" t="s">
        <v>5000</v>
      </c>
      <c r="B104" t="str">
        <f ca="1">r_choice(Customers!$A$2:$A$301)</f>
        <v>cust-183</v>
      </c>
      <c r="C104" s="12">
        <f t="shared" ca="1" si="2"/>
        <v>43933</v>
      </c>
      <c r="D104" t="str">
        <f ca="1">r_choice(Games!$A$2:$A$41)</f>
        <v>Prod-018</v>
      </c>
      <c r="E104" t="str">
        <f ca="1">r_choice(Branches!$A$2:$A$21)</f>
        <v>br-001</v>
      </c>
      <c r="F104" t="str">
        <f ca="1">r_choice(Employees!$A$2:$A$101)</f>
        <v>empl_072</v>
      </c>
      <c r="I104" t="str">
        <f t="shared" ca="1" si="3"/>
        <v>insert into Local_sales values ('Sale-097', 'cust-253', '08-Jul-2020', 'Prod-013', 'br-008', 'empl_073');</v>
      </c>
    </row>
    <row r="105" spans="1:9" x14ac:dyDescent="0.25">
      <c r="A105" t="s">
        <v>5001</v>
      </c>
      <c r="B105" t="str">
        <f ca="1">r_choice(Customers!$A$2:$A$301)</f>
        <v>cust-213</v>
      </c>
      <c r="C105" s="12">
        <f t="shared" ca="1" si="2"/>
        <v>44147</v>
      </c>
      <c r="D105" t="str">
        <f ca="1">r_choice(Games!$A$2:$A$41)</f>
        <v>Prod-005</v>
      </c>
      <c r="E105" t="str">
        <f ca="1">r_choice(Branches!$A$2:$A$21)</f>
        <v>br-012</v>
      </c>
      <c r="F105" t="str">
        <f ca="1">r_choice(Employees!$A$2:$A$101)</f>
        <v>empl_035</v>
      </c>
      <c r="I105" t="str">
        <f t="shared" ca="1" si="3"/>
        <v>insert into Local_sales values ('Sale-098', 'cust-160', '19-Jul-2020', 'Prod-006', 'br-003', 'empl_030');</v>
      </c>
    </row>
    <row r="106" spans="1:9" x14ac:dyDescent="0.25">
      <c r="A106" t="s">
        <v>5002</v>
      </c>
      <c r="B106" t="str">
        <f ca="1">r_choice(Customers!$A$2:$A$301)</f>
        <v>cust-182</v>
      </c>
      <c r="C106" s="12">
        <f t="shared" ca="1" si="2"/>
        <v>43914</v>
      </c>
      <c r="D106" t="str">
        <f ca="1">r_choice(Games!$A$2:$A$41)</f>
        <v>Prod-010</v>
      </c>
      <c r="E106" t="str">
        <f ca="1">r_choice(Branches!$A$2:$A$21)</f>
        <v>br-008</v>
      </c>
      <c r="F106" t="str">
        <f ca="1">r_choice(Employees!$A$2:$A$101)</f>
        <v>empl_043</v>
      </c>
      <c r="I106" t="str">
        <f t="shared" ca="1" si="3"/>
        <v>insert into Local_sales values ('Sale-099', 'cust-297', '15-Jan-2020', 'Prod-035', 'br-008', 'empl_085');</v>
      </c>
    </row>
    <row r="107" spans="1:9" x14ac:dyDescent="0.25">
      <c r="A107" t="s">
        <v>5003</v>
      </c>
      <c r="B107" t="str">
        <f ca="1">r_choice(Customers!$A$2:$A$301)</f>
        <v>cust-084</v>
      </c>
      <c r="C107" s="12">
        <f t="shared" ca="1" si="2"/>
        <v>43930</v>
      </c>
      <c r="D107" t="str">
        <f ca="1">r_choice(Games!$A$2:$A$41)</f>
        <v>Prod-004</v>
      </c>
      <c r="E107" t="str">
        <f ca="1">r_choice(Branches!$A$2:$A$21)</f>
        <v>br-003</v>
      </c>
      <c r="F107" t="str">
        <f ca="1">r_choice(Employees!$A$2:$A$101)</f>
        <v>empl_096</v>
      </c>
      <c r="I107" t="str">
        <f t="shared" ca="1" si="3"/>
        <v>insert into Local_sales values ('Sale-100', 'cust-003', '11-Feb-2020', 'Prod-016', 'br-012', 'empl_022');</v>
      </c>
    </row>
    <row r="108" spans="1:9" x14ac:dyDescent="0.25">
      <c r="A108" t="s">
        <v>5004</v>
      </c>
      <c r="B108" t="str">
        <f ca="1">r_choice(Customers!$A$2:$A$301)</f>
        <v>cust-205</v>
      </c>
      <c r="C108" s="12">
        <f t="shared" ca="1" si="2"/>
        <v>44088</v>
      </c>
      <c r="D108" t="str">
        <f ca="1">r_choice(Games!$A$2:$A$41)</f>
        <v>Prod-033</v>
      </c>
      <c r="E108" t="str">
        <f ca="1">r_choice(Branches!$A$2:$A$21)</f>
        <v>br-009</v>
      </c>
      <c r="F108" t="str">
        <f ca="1">r_choice(Employees!$A$2:$A$101)</f>
        <v>empl_100</v>
      </c>
      <c r="I108" t="str">
        <f t="shared" ca="1" si="3"/>
        <v>insert into Local_sales values ('Sale-101', 'cust-053', '09-Mar-2020', 'Prod-018', 'br-015', 'empl_001');</v>
      </c>
    </row>
    <row r="109" spans="1:9" x14ac:dyDescent="0.25">
      <c r="A109" t="s">
        <v>5005</v>
      </c>
      <c r="B109" t="str">
        <f ca="1">r_choice(Customers!$A$2:$A$301)</f>
        <v>cust-186</v>
      </c>
      <c r="C109" s="12">
        <f t="shared" ca="1" si="2"/>
        <v>43900</v>
      </c>
      <c r="D109" t="str">
        <f ca="1">r_choice(Games!$A$2:$A$41)</f>
        <v>Prod-026</v>
      </c>
      <c r="E109" t="str">
        <f ca="1">r_choice(Branches!$A$2:$A$21)</f>
        <v>br-019</v>
      </c>
      <c r="F109" t="str">
        <f ca="1">r_choice(Employees!$A$2:$A$101)</f>
        <v>empl_043</v>
      </c>
      <c r="I109" t="str">
        <f t="shared" ca="1" si="3"/>
        <v>insert into Local_sales values ('Sale-102', 'cust-057', '28-Nov-2020', 'Prod-001', 'br-017', 'empl_039');</v>
      </c>
    </row>
    <row r="110" spans="1:9" x14ac:dyDescent="0.25">
      <c r="A110" t="s">
        <v>5006</v>
      </c>
      <c r="B110" t="str">
        <f ca="1">r_choice(Customers!$A$2:$A$301)</f>
        <v>cust-015</v>
      </c>
      <c r="C110" s="12">
        <f t="shared" ca="1" si="2"/>
        <v>43913</v>
      </c>
      <c r="D110" t="str">
        <f ca="1">r_choice(Games!$A$2:$A$41)</f>
        <v>Prod-023</v>
      </c>
      <c r="E110" t="str">
        <f ca="1">r_choice(Branches!$A$2:$A$21)</f>
        <v>br-009</v>
      </c>
      <c r="F110" t="str">
        <f ca="1">r_choice(Employees!$A$2:$A$101)</f>
        <v>empl_078</v>
      </c>
      <c r="I110" t="str">
        <f t="shared" ca="1" si="3"/>
        <v>insert into Local_sales values ('Sale-103', 'cust-183', '12-Apr-2020', 'Prod-018', 'br-001', 'empl_072');</v>
      </c>
    </row>
    <row r="111" spans="1:9" x14ac:dyDescent="0.25">
      <c r="A111" t="s">
        <v>5007</v>
      </c>
      <c r="B111" t="str">
        <f ca="1">r_choice(Customers!$A$2:$A$301)</f>
        <v>cust-178</v>
      </c>
      <c r="C111" s="12">
        <f t="shared" ca="1" si="2"/>
        <v>43916</v>
      </c>
      <c r="D111" t="str">
        <f ca="1">r_choice(Games!$A$2:$A$41)</f>
        <v>Prod-017</v>
      </c>
      <c r="E111" t="str">
        <f ca="1">r_choice(Branches!$A$2:$A$21)</f>
        <v>br-020</v>
      </c>
      <c r="F111" t="str">
        <f ca="1">r_choice(Employees!$A$2:$A$101)</f>
        <v>empl_004</v>
      </c>
      <c r="I111" t="str">
        <f t="shared" ca="1" si="3"/>
        <v>insert into Local_sales values ('Sale-104', 'cust-213', '12-Nov-2020', 'Prod-005', 'br-012', 'empl_035');</v>
      </c>
    </row>
    <row r="112" spans="1:9" x14ac:dyDescent="0.25">
      <c r="A112" t="s">
        <v>5008</v>
      </c>
      <c r="B112" t="str">
        <f ca="1">r_choice(Customers!$A$2:$A$301)</f>
        <v>cust-260</v>
      </c>
      <c r="C112" s="12">
        <f t="shared" ca="1" si="2"/>
        <v>44139</v>
      </c>
      <c r="D112" t="str">
        <f ca="1">r_choice(Games!$A$2:$A$41)</f>
        <v>Prod-023</v>
      </c>
      <c r="E112" t="str">
        <f ca="1">r_choice(Branches!$A$2:$A$21)</f>
        <v>br-020</v>
      </c>
      <c r="F112" t="str">
        <f ca="1">r_choice(Employees!$A$2:$A$101)</f>
        <v>empl_039</v>
      </c>
      <c r="I112" t="str">
        <f t="shared" ca="1" si="3"/>
        <v>insert into Local_sales values ('Sale-105', 'cust-182', '24-Mar-2020', 'Prod-010', 'br-008', 'empl_043');</v>
      </c>
    </row>
    <row r="113" spans="1:9" x14ac:dyDescent="0.25">
      <c r="A113" t="s">
        <v>5009</v>
      </c>
      <c r="B113" t="str">
        <f ca="1">r_choice(Customers!$A$2:$A$301)</f>
        <v>cust-067</v>
      </c>
      <c r="C113" s="12">
        <f t="shared" ca="1" si="2"/>
        <v>43944</v>
      </c>
      <c r="D113" t="str">
        <f ca="1">r_choice(Games!$A$2:$A$41)</f>
        <v>Prod-012</v>
      </c>
      <c r="E113" t="str">
        <f ca="1">r_choice(Branches!$A$2:$A$21)</f>
        <v>br-020</v>
      </c>
      <c r="F113" t="str">
        <f ca="1">r_choice(Employees!$A$2:$A$101)</f>
        <v>empl_023</v>
      </c>
      <c r="I113" t="str">
        <f t="shared" ca="1" si="3"/>
        <v>insert into Local_sales values ('Sale-106', 'cust-084', '09-Apr-2020', 'Prod-004', 'br-003', 'empl_096');</v>
      </c>
    </row>
    <row r="114" spans="1:9" x14ac:dyDescent="0.25">
      <c r="A114" t="s">
        <v>5010</v>
      </c>
      <c r="B114" t="str">
        <f ca="1">r_choice(Customers!$A$2:$A$301)</f>
        <v>cust-248</v>
      </c>
      <c r="C114" s="12">
        <f t="shared" ca="1" si="2"/>
        <v>44036</v>
      </c>
      <c r="D114" t="str">
        <f ca="1">r_choice(Games!$A$2:$A$41)</f>
        <v>Prod-001</v>
      </c>
      <c r="E114" t="str">
        <f ca="1">r_choice(Branches!$A$2:$A$21)</f>
        <v>br-016</v>
      </c>
      <c r="F114" t="str">
        <f ca="1">r_choice(Employees!$A$2:$A$101)</f>
        <v>empl_020</v>
      </c>
      <c r="I114" t="str">
        <f t="shared" ca="1" si="3"/>
        <v>insert into Local_sales values ('Sale-107', 'cust-205', '14-Sep-2020', 'Prod-033', 'br-009', 'empl_100');</v>
      </c>
    </row>
    <row r="115" spans="1:9" x14ac:dyDescent="0.25">
      <c r="A115" t="s">
        <v>5011</v>
      </c>
      <c r="B115" t="str">
        <f ca="1">r_choice(Customers!$A$2:$A$301)</f>
        <v>cust-259</v>
      </c>
      <c r="C115" s="12">
        <f t="shared" ca="1" si="2"/>
        <v>43876</v>
      </c>
      <c r="D115" t="str">
        <f ca="1">r_choice(Games!$A$2:$A$41)</f>
        <v>Prod-002</v>
      </c>
      <c r="E115" t="str">
        <f ca="1">r_choice(Branches!$A$2:$A$21)</f>
        <v>br-019</v>
      </c>
      <c r="F115" t="str">
        <f ca="1">r_choice(Employees!$A$2:$A$101)</f>
        <v>empl_064</v>
      </c>
      <c r="I115" t="str">
        <f t="shared" ca="1" si="3"/>
        <v>insert into Local_sales values ('Sale-108', 'cust-186', '10-Mar-2020', 'Prod-026', 'br-019', 'empl_043');</v>
      </c>
    </row>
    <row r="116" spans="1:9" x14ac:dyDescent="0.25">
      <c r="A116" t="s">
        <v>5012</v>
      </c>
      <c r="B116" t="str">
        <f ca="1">r_choice(Customers!$A$2:$A$301)</f>
        <v>cust-126</v>
      </c>
      <c r="C116" s="12">
        <f t="shared" ca="1" si="2"/>
        <v>44059</v>
      </c>
      <c r="D116" t="str">
        <f ca="1">r_choice(Games!$A$2:$A$41)</f>
        <v>Prod-039</v>
      </c>
      <c r="E116" t="str">
        <f ca="1">r_choice(Branches!$A$2:$A$21)</f>
        <v>br-006</v>
      </c>
      <c r="F116" t="str">
        <f ca="1">r_choice(Employees!$A$2:$A$101)</f>
        <v>empl_017</v>
      </c>
      <c r="I116" t="str">
        <f t="shared" ca="1" si="3"/>
        <v>insert into Local_sales values ('Sale-109', 'cust-015', '23-Mar-2020', 'Prod-023', 'br-009', 'empl_078');</v>
      </c>
    </row>
    <row r="117" spans="1:9" x14ac:dyDescent="0.25">
      <c r="A117" t="s">
        <v>5013</v>
      </c>
      <c r="B117" t="str">
        <f ca="1">r_choice(Customers!$A$2:$A$301)</f>
        <v>cust-007</v>
      </c>
      <c r="C117" s="12">
        <f t="shared" ca="1" si="2"/>
        <v>43872</v>
      </c>
      <c r="D117" t="str">
        <f ca="1">r_choice(Games!$A$2:$A$41)</f>
        <v>Prod-038</v>
      </c>
      <c r="E117" t="str">
        <f ca="1">r_choice(Branches!$A$2:$A$21)</f>
        <v>br-004</v>
      </c>
      <c r="F117" t="str">
        <f ca="1">r_choice(Employees!$A$2:$A$101)</f>
        <v>empl_044</v>
      </c>
      <c r="I117" t="str">
        <f t="shared" ca="1" si="3"/>
        <v>insert into Local_sales values ('Sale-110', 'cust-178', '26-Mar-2020', 'Prod-017', 'br-020', 'empl_004');</v>
      </c>
    </row>
    <row r="118" spans="1:9" x14ac:dyDescent="0.25">
      <c r="A118" t="s">
        <v>5014</v>
      </c>
      <c r="B118" t="str">
        <f ca="1">r_choice(Customers!$A$2:$A$301)</f>
        <v>cust-085</v>
      </c>
      <c r="C118" s="12">
        <f t="shared" ca="1" si="2"/>
        <v>44022</v>
      </c>
      <c r="D118" t="str">
        <f ca="1">r_choice(Games!$A$2:$A$41)</f>
        <v>Prod-012</v>
      </c>
      <c r="E118" t="str">
        <f ca="1">r_choice(Branches!$A$2:$A$21)</f>
        <v>br-020</v>
      </c>
      <c r="F118" t="str">
        <f ca="1">r_choice(Employees!$A$2:$A$101)</f>
        <v>empl_062</v>
      </c>
      <c r="I118" t="str">
        <f t="shared" ca="1" si="3"/>
        <v>insert into Local_sales values ('Sale-111', 'cust-260', '04-Nov-2020', 'Prod-023', 'br-020', 'empl_039');</v>
      </c>
    </row>
    <row r="119" spans="1:9" x14ac:dyDescent="0.25">
      <c r="A119" t="s">
        <v>5015</v>
      </c>
      <c r="B119" t="str">
        <f ca="1">r_choice(Customers!$A$2:$A$301)</f>
        <v>cust-083</v>
      </c>
      <c r="C119" s="12">
        <f t="shared" ca="1" si="2"/>
        <v>44123</v>
      </c>
      <c r="D119" t="str">
        <f ca="1">r_choice(Games!$A$2:$A$41)</f>
        <v>Prod-023</v>
      </c>
      <c r="E119" t="str">
        <f ca="1">r_choice(Branches!$A$2:$A$21)</f>
        <v>br-016</v>
      </c>
      <c r="F119" t="str">
        <f ca="1">r_choice(Employees!$A$2:$A$101)</f>
        <v>empl_020</v>
      </c>
      <c r="I119" t="str">
        <f t="shared" ca="1" si="3"/>
        <v>insert into Local_sales values ('Sale-112', 'cust-067', '23-Apr-2020', 'Prod-012', 'br-020', 'empl_023');</v>
      </c>
    </row>
    <row r="120" spans="1:9" x14ac:dyDescent="0.25">
      <c r="A120" t="s">
        <v>5016</v>
      </c>
      <c r="B120" t="str">
        <f ca="1">r_choice(Customers!$A$2:$A$301)</f>
        <v>cust-183</v>
      </c>
      <c r="C120" s="12">
        <f t="shared" ca="1" si="2"/>
        <v>43851</v>
      </c>
      <c r="D120" t="str">
        <f ca="1">r_choice(Games!$A$2:$A$41)</f>
        <v>Prod-033</v>
      </c>
      <c r="E120" t="str">
        <f ca="1">r_choice(Branches!$A$2:$A$21)</f>
        <v>br-013</v>
      </c>
      <c r="F120" t="str">
        <f ca="1">r_choice(Employees!$A$2:$A$101)</f>
        <v>empl_097</v>
      </c>
      <c r="I120" t="str">
        <f t="shared" ca="1" si="3"/>
        <v>insert into Local_sales values ('Sale-113', 'cust-248', '24-Jul-2020', 'Prod-001', 'br-016', 'empl_020');</v>
      </c>
    </row>
    <row r="121" spans="1:9" x14ac:dyDescent="0.25">
      <c r="A121" t="s">
        <v>5017</v>
      </c>
      <c r="B121" t="str">
        <f ca="1">r_choice(Customers!$A$2:$A$301)</f>
        <v>cust-141</v>
      </c>
      <c r="C121" s="12">
        <f t="shared" ca="1" si="2"/>
        <v>43926</v>
      </c>
      <c r="D121" t="str">
        <f ca="1">r_choice(Games!$A$2:$A$41)</f>
        <v>Prod-026</v>
      </c>
      <c r="E121" t="str">
        <f ca="1">r_choice(Branches!$A$2:$A$21)</f>
        <v>br-015</v>
      </c>
      <c r="F121" t="str">
        <f ca="1">r_choice(Employees!$A$2:$A$101)</f>
        <v>empl_006</v>
      </c>
      <c r="I121" t="str">
        <f t="shared" ca="1" si="3"/>
        <v>insert into Local_sales values ('Sale-114', 'cust-259', '15-Feb-2020', 'Prod-002', 'br-019', 'empl_064');</v>
      </c>
    </row>
    <row r="122" spans="1:9" x14ac:dyDescent="0.25">
      <c r="A122" t="s">
        <v>5018</v>
      </c>
      <c r="B122" t="str">
        <f ca="1">r_choice(Customers!$A$2:$A$301)</f>
        <v>cust-091</v>
      </c>
      <c r="C122" s="12">
        <f t="shared" ca="1" si="2"/>
        <v>44007</v>
      </c>
      <c r="D122" t="str">
        <f ca="1">r_choice(Games!$A$2:$A$41)</f>
        <v>Prod-027</v>
      </c>
      <c r="E122" t="str">
        <f ca="1">r_choice(Branches!$A$2:$A$21)</f>
        <v>br-005</v>
      </c>
      <c r="F122" t="str">
        <f ca="1">r_choice(Employees!$A$2:$A$101)</f>
        <v>empl_014</v>
      </c>
      <c r="I122" t="str">
        <f t="shared" ca="1" si="3"/>
        <v>insert into Local_sales values ('Sale-115', 'cust-126', '16-Aug-2020', 'Prod-039', 'br-006', 'empl_017');</v>
      </c>
    </row>
    <row r="123" spans="1:9" x14ac:dyDescent="0.25">
      <c r="A123" t="s">
        <v>5019</v>
      </c>
      <c r="B123" t="str">
        <f ca="1">r_choice(Customers!$A$2:$A$301)</f>
        <v>cust-085</v>
      </c>
      <c r="C123" s="12">
        <f t="shared" ca="1" si="2"/>
        <v>43906</v>
      </c>
      <c r="D123" t="str">
        <f ca="1">r_choice(Games!$A$2:$A$41)</f>
        <v>Prod-015</v>
      </c>
      <c r="E123" t="str">
        <f ca="1">r_choice(Branches!$A$2:$A$21)</f>
        <v>br-014</v>
      </c>
      <c r="F123" t="str">
        <f ca="1">r_choice(Employees!$A$2:$A$101)</f>
        <v>empl_047</v>
      </c>
      <c r="I123" t="str">
        <f t="shared" ca="1" si="3"/>
        <v>insert into Local_sales values ('Sale-116', 'cust-007', '11-Feb-2020', 'Prod-038', 'br-004', 'empl_044');</v>
      </c>
    </row>
    <row r="124" spans="1:9" x14ac:dyDescent="0.25">
      <c r="A124" t="s">
        <v>5020</v>
      </c>
      <c r="B124" t="str">
        <f ca="1">r_choice(Customers!$A$2:$A$301)</f>
        <v>cust-263</v>
      </c>
      <c r="C124" s="12">
        <f t="shared" ca="1" si="2"/>
        <v>43941</v>
      </c>
      <c r="D124" t="str">
        <f ca="1">r_choice(Games!$A$2:$A$41)</f>
        <v>Prod-014</v>
      </c>
      <c r="E124" t="str">
        <f ca="1">r_choice(Branches!$A$2:$A$21)</f>
        <v>br-003</v>
      </c>
      <c r="F124" t="str">
        <f ca="1">r_choice(Employees!$A$2:$A$101)</f>
        <v>empl_017</v>
      </c>
      <c r="I124" t="str">
        <f t="shared" ca="1" si="3"/>
        <v>insert into Local_sales values ('Sale-117', 'cust-085', '10-Jul-2020', 'Prod-012', 'br-020', 'empl_062');</v>
      </c>
    </row>
    <row r="125" spans="1:9" x14ac:dyDescent="0.25">
      <c r="A125" t="s">
        <v>5021</v>
      </c>
      <c r="B125" t="str">
        <f ca="1">r_choice(Customers!$A$2:$A$301)</f>
        <v>cust-294</v>
      </c>
      <c r="C125" s="12">
        <f t="shared" ca="1" si="2"/>
        <v>44150</v>
      </c>
      <c r="D125" t="str">
        <f ca="1">r_choice(Games!$A$2:$A$41)</f>
        <v>Prod-013</v>
      </c>
      <c r="E125" t="str">
        <f ca="1">r_choice(Branches!$A$2:$A$21)</f>
        <v>br-015</v>
      </c>
      <c r="F125" t="str">
        <f ca="1">r_choice(Employees!$A$2:$A$101)</f>
        <v>empl_019</v>
      </c>
      <c r="I125" t="str">
        <f t="shared" ca="1" si="3"/>
        <v>insert into Local_sales values ('Sale-118', 'cust-083', '19-Oct-2020', 'Prod-023', 'br-016', 'empl_020');</v>
      </c>
    </row>
    <row r="126" spans="1:9" x14ac:dyDescent="0.25">
      <c r="A126" t="s">
        <v>5022</v>
      </c>
      <c r="B126" t="str">
        <f ca="1">r_choice(Customers!$A$2:$A$301)</f>
        <v>cust-256</v>
      </c>
      <c r="C126" s="12">
        <f t="shared" ca="1" si="2"/>
        <v>43877</v>
      </c>
      <c r="D126" t="str">
        <f ca="1">r_choice(Games!$A$2:$A$41)</f>
        <v>Prod-008</v>
      </c>
      <c r="E126" t="str">
        <f ca="1">r_choice(Branches!$A$2:$A$21)</f>
        <v>br-014</v>
      </c>
      <c r="F126" t="str">
        <f ca="1">r_choice(Employees!$A$2:$A$101)</f>
        <v>empl_053</v>
      </c>
      <c r="I126" t="str">
        <f t="shared" ca="1" si="3"/>
        <v>insert into Local_sales values ('Sale-119', 'cust-183', '21-Jan-2020', 'Prod-033', 'br-013', 'empl_097');</v>
      </c>
    </row>
    <row r="127" spans="1:9" x14ac:dyDescent="0.25">
      <c r="A127" t="s">
        <v>5023</v>
      </c>
      <c r="B127" t="str">
        <f ca="1">r_choice(Customers!$A$2:$A$301)</f>
        <v>cust-214</v>
      </c>
      <c r="C127" s="12">
        <f t="shared" ca="1" si="2"/>
        <v>43926</v>
      </c>
      <c r="D127" t="str">
        <f ca="1">r_choice(Games!$A$2:$A$41)</f>
        <v>Prod-032</v>
      </c>
      <c r="E127" t="str">
        <f ca="1">r_choice(Branches!$A$2:$A$21)</f>
        <v>br-003</v>
      </c>
      <c r="F127" t="str">
        <f ca="1">r_choice(Employees!$A$2:$A$101)</f>
        <v>empl_092</v>
      </c>
      <c r="I127" t="str">
        <f t="shared" ca="1" si="3"/>
        <v>insert into Local_sales values ('Sale-120', 'cust-141', '05-Apr-2020', 'Prod-026', 'br-015', 'empl_006');</v>
      </c>
    </row>
    <row r="128" spans="1:9" x14ac:dyDescent="0.25">
      <c r="A128" t="s">
        <v>5024</v>
      </c>
      <c r="B128" t="str">
        <f ca="1">r_choice(Customers!$A$2:$A$301)</f>
        <v>cust-104</v>
      </c>
      <c r="C128" s="12">
        <f t="shared" ca="1" si="2"/>
        <v>44109</v>
      </c>
      <c r="D128" t="str">
        <f ca="1">r_choice(Games!$A$2:$A$41)</f>
        <v>Prod-011</v>
      </c>
      <c r="E128" t="str">
        <f ca="1">r_choice(Branches!$A$2:$A$21)</f>
        <v>br-004</v>
      </c>
      <c r="F128" t="str">
        <f ca="1">r_choice(Employees!$A$2:$A$101)</f>
        <v>empl_094</v>
      </c>
      <c r="I128" t="str">
        <f t="shared" ca="1" si="3"/>
        <v>insert into Local_sales values ('Sale-121', 'cust-091', '25-Jun-2020', 'Prod-027', 'br-005', 'empl_014');</v>
      </c>
    </row>
    <row r="129" spans="1:9" x14ac:dyDescent="0.25">
      <c r="A129" t="s">
        <v>5025</v>
      </c>
      <c r="B129" t="str">
        <f ca="1">r_choice(Customers!$A$2:$A$301)</f>
        <v>cust-230</v>
      </c>
      <c r="C129" s="12">
        <f t="shared" ca="1" si="2"/>
        <v>44058</v>
      </c>
      <c r="D129" t="str">
        <f ca="1">r_choice(Games!$A$2:$A$41)</f>
        <v>Prod-025</v>
      </c>
      <c r="E129" t="str">
        <f ca="1">r_choice(Branches!$A$2:$A$21)</f>
        <v>br-016</v>
      </c>
      <c r="F129" t="str">
        <f ca="1">r_choice(Employees!$A$2:$A$101)</f>
        <v>empl_058</v>
      </c>
      <c r="I129" t="str">
        <f t="shared" ca="1" si="3"/>
        <v>insert into Local_sales values ('Sale-122', 'cust-085', '16-Mar-2020', 'Prod-015', 'br-014', 'empl_047');</v>
      </c>
    </row>
    <row r="130" spans="1:9" x14ac:dyDescent="0.25">
      <c r="A130" t="s">
        <v>5026</v>
      </c>
      <c r="B130" t="str">
        <f ca="1">r_choice(Customers!$A$2:$A$301)</f>
        <v>cust-059</v>
      </c>
      <c r="C130" s="12">
        <f t="shared" ca="1" si="2"/>
        <v>44077</v>
      </c>
      <c r="D130" t="str">
        <f ca="1">r_choice(Games!$A$2:$A$41)</f>
        <v>Prod-024</v>
      </c>
      <c r="E130" t="str">
        <f ca="1">r_choice(Branches!$A$2:$A$21)</f>
        <v>br-004</v>
      </c>
      <c r="F130" t="str">
        <f ca="1">r_choice(Employees!$A$2:$A$101)</f>
        <v>empl_038</v>
      </c>
      <c r="I130" t="str">
        <f t="shared" ca="1" si="3"/>
        <v>insert into Local_sales values ('Sale-123', 'cust-263', '20-Apr-2020', 'Prod-014', 'br-003', 'empl_017');</v>
      </c>
    </row>
    <row r="131" spans="1:9" x14ac:dyDescent="0.25">
      <c r="A131" t="s">
        <v>5027</v>
      </c>
      <c r="B131" t="str">
        <f ca="1">r_choice(Customers!$A$2:$A$301)</f>
        <v>cust-096</v>
      </c>
      <c r="C131" s="12">
        <f t="shared" ref="C131:C194" ca="1" si="4">r_date(2020,1,2020,12)</f>
        <v>44128</v>
      </c>
      <c r="D131" t="str">
        <f ca="1">r_choice(Games!$A$2:$A$41)</f>
        <v>Prod-034</v>
      </c>
      <c r="E131" t="str">
        <f ca="1">r_choice(Branches!$A$2:$A$21)</f>
        <v>br-001</v>
      </c>
      <c r="F131" t="str">
        <f ca="1">r_choice(Employees!$A$2:$A$101)</f>
        <v>empl_026</v>
      </c>
      <c r="I131" t="str">
        <f t="shared" ca="1" si="3"/>
        <v>insert into Local_sales values ('Sale-124', 'cust-294', '15-Nov-2020', 'Prod-013', 'br-015', 'empl_019');</v>
      </c>
    </row>
    <row r="132" spans="1:9" x14ac:dyDescent="0.25">
      <c r="A132" t="s">
        <v>5028</v>
      </c>
      <c r="B132" t="str">
        <f ca="1">r_choice(Customers!$A$2:$A$301)</f>
        <v>cust-230</v>
      </c>
      <c r="C132" s="12">
        <f t="shared" ca="1" si="4"/>
        <v>44075</v>
      </c>
      <c r="D132" t="str">
        <f ca="1">r_choice(Games!$A$2:$A$41)</f>
        <v>Prod-024</v>
      </c>
      <c r="E132" t="str">
        <f ca="1">r_choice(Branches!$A$2:$A$21)</f>
        <v>br-020</v>
      </c>
      <c r="F132" t="str">
        <f ca="1">r_choice(Employees!$A$2:$A$101)</f>
        <v>empl_020</v>
      </c>
      <c r="I132" t="str">
        <f t="shared" ca="1" si="3"/>
        <v>insert into Local_sales values ('Sale-125', 'cust-256', '16-Feb-2020', 'Prod-008', 'br-014', 'empl_053');</v>
      </c>
    </row>
    <row r="133" spans="1:9" x14ac:dyDescent="0.25">
      <c r="A133" t="s">
        <v>5029</v>
      </c>
      <c r="B133" t="str">
        <f ca="1">r_choice(Customers!$A$2:$A$301)</f>
        <v>cust-120</v>
      </c>
      <c r="C133" s="12">
        <f t="shared" ca="1" si="4"/>
        <v>44137</v>
      </c>
      <c r="D133" t="str">
        <f ca="1">r_choice(Games!$A$2:$A$41)</f>
        <v>Prod-033</v>
      </c>
      <c r="E133" t="str">
        <f ca="1">r_choice(Branches!$A$2:$A$21)</f>
        <v>br-002</v>
      </c>
      <c r="F133" t="str">
        <f ca="1">r_choice(Employees!$A$2:$A$101)</f>
        <v>empl_042</v>
      </c>
      <c r="I133" t="str">
        <f t="shared" ca="1" si="3"/>
        <v>insert into Local_sales values ('Sale-126', 'cust-214', '05-Apr-2020', 'Prod-032', 'br-003', 'empl_092');</v>
      </c>
    </row>
    <row r="134" spans="1:9" x14ac:dyDescent="0.25">
      <c r="A134" t="s">
        <v>5030</v>
      </c>
      <c r="B134" t="str">
        <f ca="1">r_choice(Customers!$A$2:$A$301)</f>
        <v>cust-267</v>
      </c>
      <c r="C134" s="12">
        <f t="shared" ca="1" si="4"/>
        <v>44043</v>
      </c>
      <c r="D134" t="str">
        <f ca="1">r_choice(Games!$A$2:$A$41)</f>
        <v>Prod-034</v>
      </c>
      <c r="E134" t="str">
        <f ca="1">r_choice(Branches!$A$2:$A$21)</f>
        <v>br-015</v>
      </c>
      <c r="F134" t="str">
        <f ca="1">r_choice(Employees!$A$2:$A$101)</f>
        <v>empl_024</v>
      </c>
      <c r="I134" t="str">
        <f t="shared" ca="1" si="3"/>
        <v>insert into Local_sales values ('Sale-127', 'cust-104', '05-Oct-2020', 'Prod-011', 'br-004', 'empl_094');</v>
      </c>
    </row>
    <row r="135" spans="1:9" x14ac:dyDescent="0.25">
      <c r="A135" t="s">
        <v>5031</v>
      </c>
      <c r="B135" t="str">
        <f ca="1">r_choice(Customers!$A$2:$A$301)</f>
        <v>cust-251</v>
      </c>
      <c r="C135" s="12">
        <f t="shared" ca="1" si="4"/>
        <v>43856</v>
      </c>
      <c r="D135" t="str">
        <f ca="1">r_choice(Games!$A$2:$A$41)</f>
        <v>Prod-025</v>
      </c>
      <c r="E135" t="str">
        <f ca="1">r_choice(Branches!$A$2:$A$21)</f>
        <v>br-019</v>
      </c>
      <c r="F135" t="str">
        <f ca="1">r_choice(Employees!$A$2:$A$101)</f>
        <v>empl_059</v>
      </c>
      <c r="I135" t="str">
        <f t="shared" ca="1" si="3"/>
        <v>insert into Local_sales values ('Sale-128', 'cust-230', '15-Aug-2020', 'Prod-025', 'br-016', 'empl_058');</v>
      </c>
    </row>
    <row r="136" spans="1:9" x14ac:dyDescent="0.25">
      <c r="A136" t="s">
        <v>5032</v>
      </c>
      <c r="B136" t="str">
        <f ca="1">r_choice(Customers!$A$2:$A$301)</f>
        <v>cust-175</v>
      </c>
      <c r="C136" s="12">
        <f t="shared" ca="1" si="4"/>
        <v>44052</v>
      </c>
      <c r="D136" t="str">
        <f ca="1">r_choice(Games!$A$2:$A$41)</f>
        <v>Prod-036</v>
      </c>
      <c r="E136" t="str">
        <f ca="1">r_choice(Branches!$A$2:$A$21)</f>
        <v>br-005</v>
      </c>
      <c r="F136" t="str">
        <f ca="1">r_choice(Employees!$A$2:$A$101)</f>
        <v>empl_092</v>
      </c>
      <c r="I136" t="str">
        <f t="shared" ref="I136:I199" ca="1" si="5">insertinto(A130:F130,$I$1:$J$6,"Local_sales")</f>
        <v>insert into Local_sales values ('Sale-129', 'cust-059', '03-Sep-2020', 'Prod-024', 'br-004', 'empl_038');</v>
      </c>
    </row>
    <row r="137" spans="1:9" x14ac:dyDescent="0.25">
      <c r="A137" t="s">
        <v>5033</v>
      </c>
      <c r="B137" t="str">
        <f ca="1">r_choice(Customers!$A$2:$A$301)</f>
        <v>cust-067</v>
      </c>
      <c r="C137" s="12">
        <f t="shared" ca="1" si="4"/>
        <v>44173</v>
      </c>
      <c r="D137" t="str">
        <f ca="1">r_choice(Games!$A$2:$A$41)</f>
        <v>Prod-021</v>
      </c>
      <c r="E137" t="str">
        <f ca="1">r_choice(Branches!$A$2:$A$21)</f>
        <v>br-014</v>
      </c>
      <c r="F137" t="str">
        <f ca="1">r_choice(Employees!$A$2:$A$101)</f>
        <v>empl_031</v>
      </c>
      <c r="I137" t="str">
        <f t="shared" ca="1" si="5"/>
        <v>insert into Local_sales values ('Sale-130', 'cust-096', '24-Oct-2020', 'Prod-034', 'br-001', 'empl_026');</v>
      </c>
    </row>
    <row r="138" spans="1:9" x14ac:dyDescent="0.25">
      <c r="A138" t="s">
        <v>5034</v>
      </c>
      <c r="B138" t="str">
        <f ca="1">r_choice(Customers!$A$2:$A$301)</f>
        <v>cust-093</v>
      </c>
      <c r="C138" s="12">
        <f t="shared" ca="1" si="4"/>
        <v>43930</v>
      </c>
      <c r="D138" t="str">
        <f ca="1">r_choice(Games!$A$2:$A$41)</f>
        <v>Prod-033</v>
      </c>
      <c r="E138" t="str">
        <f ca="1">r_choice(Branches!$A$2:$A$21)</f>
        <v>br-006</v>
      </c>
      <c r="F138" t="str">
        <f ca="1">r_choice(Employees!$A$2:$A$101)</f>
        <v>empl_097</v>
      </c>
      <c r="I138" t="str">
        <f t="shared" ca="1" si="5"/>
        <v>insert into Local_sales values ('Sale-131', 'cust-230', '01-Sep-2020', 'Prod-024', 'br-020', 'empl_020');</v>
      </c>
    </row>
    <row r="139" spans="1:9" x14ac:dyDescent="0.25">
      <c r="A139" t="s">
        <v>5035</v>
      </c>
      <c r="B139" t="str">
        <f ca="1">r_choice(Customers!$A$2:$A$301)</f>
        <v>cust-065</v>
      </c>
      <c r="C139" s="12">
        <f t="shared" ca="1" si="4"/>
        <v>44137</v>
      </c>
      <c r="D139" t="str">
        <f ca="1">r_choice(Games!$A$2:$A$41)</f>
        <v>Prod-028</v>
      </c>
      <c r="E139" t="str">
        <f ca="1">r_choice(Branches!$A$2:$A$21)</f>
        <v>br-001</v>
      </c>
      <c r="F139" t="str">
        <f ca="1">r_choice(Employees!$A$2:$A$101)</f>
        <v>empl_006</v>
      </c>
      <c r="I139" t="str">
        <f t="shared" ca="1" si="5"/>
        <v>insert into Local_sales values ('Sale-132', 'cust-120', '02-Nov-2020', 'Prod-033', 'br-002', 'empl_042');</v>
      </c>
    </row>
    <row r="140" spans="1:9" x14ac:dyDescent="0.25">
      <c r="A140" t="s">
        <v>5036</v>
      </c>
      <c r="B140" t="str">
        <f ca="1">r_choice(Customers!$A$2:$A$301)</f>
        <v>cust-161</v>
      </c>
      <c r="C140" s="12">
        <f t="shared" ca="1" si="4"/>
        <v>43974</v>
      </c>
      <c r="D140" t="str">
        <f ca="1">r_choice(Games!$A$2:$A$41)</f>
        <v>Prod-038</v>
      </c>
      <c r="E140" t="str">
        <f ca="1">r_choice(Branches!$A$2:$A$21)</f>
        <v>br-001</v>
      </c>
      <c r="F140" t="str">
        <f ca="1">r_choice(Employees!$A$2:$A$101)</f>
        <v>empl_043</v>
      </c>
      <c r="I140" t="str">
        <f t="shared" ca="1" si="5"/>
        <v>insert into Local_sales values ('Sale-133', 'cust-267', '31-Jul-2020', 'Prod-034', 'br-015', 'empl_024');</v>
      </c>
    </row>
    <row r="141" spans="1:9" x14ac:dyDescent="0.25">
      <c r="A141" t="s">
        <v>5037</v>
      </c>
      <c r="B141" t="str">
        <f ca="1">r_choice(Customers!$A$2:$A$301)</f>
        <v>cust-132</v>
      </c>
      <c r="C141" s="12">
        <f t="shared" ca="1" si="4"/>
        <v>44081</v>
      </c>
      <c r="D141" t="str">
        <f ca="1">r_choice(Games!$A$2:$A$41)</f>
        <v>Prod-040</v>
      </c>
      <c r="E141" t="str">
        <f ca="1">r_choice(Branches!$A$2:$A$21)</f>
        <v>br-001</v>
      </c>
      <c r="F141" t="str">
        <f ca="1">r_choice(Employees!$A$2:$A$101)</f>
        <v>empl_013</v>
      </c>
      <c r="I141" t="str">
        <f t="shared" ca="1" si="5"/>
        <v>insert into Local_sales values ('Sale-134', 'cust-251', '26-Jan-2020', 'Prod-025', 'br-019', 'empl_059');</v>
      </c>
    </row>
    <row r="142" spans="1:9" x14ac:dyDescent="0.25">
      <c r="A142" t="s">
        <v>5038</v>
      </c>
      <c r="B142" t="str">
        <f ca="1">r_choice(Customers!$A$2:$A$301)</f>
        <v>cust-186</v>
      </c>
      <c r="C142" s="12">
        <f t="shared" ca="1" si="4"/>
        <v>43929</v>
      </c>
      <c r="D142" t="str">
        <f ca="1">r_choice(Games!$A$2:$A$41)</f>
        <v>Prod-004</v>
      </c>
      <c r="E142" t="str">
        <f ca="1">r_choice(Branches!$A$2:$A$21)</f>
        <v>br-009</v>
      </c>
      <c r="F142" t="str">
        <f ca="1">r_choice(Employees!$A$2:$A$101)</f>
        <v>empl_056</v>
      </c>
      <c r="I142" t="str">
        <f t="shared" ca="1" si="5"/>
        <v>insert into Local_sales values ('Sale-135', 'cust-175', '09-Aug-2020', 'Prod-036', 'br-005', 'empl_092');</v>
      </c>
    </row>
    <row r="143" spans="1:9" x14ac:dyDescent="0.25">
      <c r="A143" t="s">
        <v>5039</v>
      </c>
      <c r="B143" t="str">
        <f ca="1">r_choice(Customers!$A$2:$A$301)</f>
        <v>cust-262</v>
      </c>
      <c r="C143" s="12">
        <f t="shared" ca="1" si="4"/>
        <v>43969</v>
      </c>
      <c r="D143" t="str">
        <f ca="1">r_choice(Games!$A$2:$A$41)</f>
        <v>Prod-007</v>
      </c>
      <c r="E143" t="str">
        <f ca="1">r_choice(Branches!$A$2:$A$21)</f>
        <v>br-016</v>
      </c>
      <c r="F143" t="str">
        <f ca="1">r_choice(Employees!$A$2:$A$101)</f>
        <v>empl_085</v>
      </c>
      <c r="I143" t="str">
        <f t="shared" ca="1" si="5"/>
        <v>insert into Local_sales values ('Sale-136', 'cust-067', '08-Dec-2020', 'Prod-021', 'br-014', 'empl_031');</v>
      </c>
    </row>
    <row r="144" spans="1:9" x14ac:dyDescent="0.25">
      <c r="A144" t="s">
        <v>5040</v>
      </c>
      <c r="B144" t="str">
        <f ca="1">r_choice(Customers!$A$2:$A$301)</f>
        <v>cust-177</v>
      </c>
      <c r="C144" s="12">
        <f t="shared" ca="1" si="4"/>
        <v>44167</v>
      </c>
      <c r="D144" t="str">
        <f ca="1">r_choice(Games!$A$2:$A$41)</f>
        <v>Prod-033</v>
      </c>
      <c r="E144" t="str">
        <f ca="1">r_choice(Branches!$A$2:$A$21)</f>
        <v>br-010</v>
      </c>
      <c r="F144" t="str">
        <f ca="1">r_choice(Employees!$A$2:$A$101)</f>
        <v>empl_001</v>
      </c>
      <c r="I144" t="str">
        <f t="shared" ca="1" si="5"/>
        <v>insert into Local_sales values ('Sale-137', 'cust-093', '09-Apr-2020', 'Prod-033', 'br-006', 'empl_097');</v>
      </c>
    </row>
    <row r="145" spans="1:9" x14ac:dyDescent="0.25">
      <c r="A145" t="s">
        <v>5041</v>
      </c>
      <c r="B145" t="str">
        <f ca="1">r_choice(Customers!$A$2:$A$301)</f>
        <v>cust-075</v>
      </c>
      <c r="C145" s="12">
        <f t="shared" ca="1" si="4"/>
        <v>43952</v>
      </c>
      <c r="D145" t="str">
        <f ca="1">r_choice(Games!$A$2:$A$41)</f>
        <v>Prod-019</v>
      </c>
      <c r="E145" t="str">
        <f ca="1">r_choice(Branches!$A$2:$A$21)</f>
        <v>br-020</v>
      </c>
      <c r="F145" t="str">
        <f ca="1">r_choice(Employees!$A$2:$A$101)</f>
        <v>empl_005</v>
      </c>
      <c r="I145" t="str">
        <f t="shared" ca="1" si="5"/>
        <v>insert into Local_sales values ('Sale-138', 'cust-065', '02-Nov-2020', 'Prod-028', 'br-001', 'empl_006');</v>
      </c>
    </row>
    <row r="146" spans="1:9" x14ac:dyDescent="0.25">
      <c r="A146" t="s">
        <v>5042</v>
      </c>
      <c r="B146" t="str">
        <f ca="1">r_choice(Customers!$A$2:$A$301)</f>
        <v>cust-034</v>
      </c>
      <c r="C146" s="12">
        <f t="shared" ca="1" si="4"/>
        <v>43852</v>
      </c>
      <c r="D146" t="str">
        <f ca="1">r_choice(Games!$A$2:$A$41)</f>
        <v>Prod-030</v>
      </c>
      <c r="E146" t="str">
        <f ca="1">r_choice(Branches!$A$2:$A$21)</f>
        <v>br-003</v>
      </c>
      <c r="F146" t="str">
        <f ca="1">r_choice(Employees!$A$2:$A$101)</f>
        <v>empl_098</v>
      </c>
      <c r="I146" t="str">
        <f t="shared" ca="1" si="5"/>
        <v>insert into Local_sales values ('Sale-139', 'cust-161', '23-May-2020', 'Prod-038', 'br-001', 'empl_043');</v>
      </c>
    </row>
    <row r="147" spans="1:9" x14ac:dyDescent="0.25">
      <c r="A147" t="s">
        <v>5043</v>
      </c>
      <c r="B147" t="str">
        <f ca="1">r_choice(Customers!$A$2:$A$301)</f>
        <v>cust-022</v>
      </c>
      <c r="C147" s="12">
        <f t="shared" ca="1" si="4"/>
        <v>43968</v>
      </c>
      <c r="D147" t="str">
        <f ca="1">r_choice(Games!$A$2:$A$41)</f>
        <v>Prod-014</v>
      </c>
      <c r="E147" t="str">
        <f ca="1">r_choice(Branches!$A$2:$A$21)</f>
        <v>br-004</v>
      </c>
      <c r="F147" t="str">
        <f ca="1">r_choice(Employees!$A$2:$A$101)</f>
        <v>empl_080</v>
      </c>
      <c r="I147" t="str">
        <f t="shared" ca="1" si="5"/>
        <v>insert into Local_sales values ('Sale-140', 'cust-132', '07-Sep-2020', 'Prod-040', 'br-001', 'empl_013');</v>
      </c>
    </row>
    <row r="148" spans="1:9" x14ac:dyDescent="0.25">
      <c r="A148" t="s">
        <v>5044</v>
      </c>
      <c r="B148" t="str">
        <f ca="1">r_choice(Customers!$A$2:$A$301)</f>
        <v>cust-292</v>
      </c>
      <c r="C148" s="12">
        <f t="shared" ca="1" si="4"/>
        <v>44079</v>
      </c>
      <c r="D148" t="str">
        <f ca="1">r_choice(Games!$A$2:$A$41)</f>
        <v>Prod-023</v>
      </c>
      <c r="E148" t="str">
        <f ca="1">r_choice(Branches!$A$2:$A$21)</f>
        <v>br-004</v>
      </c>
      <c r="F148" t="str">
        <f ca="1">r_choice(Employees!$A$2:$A$101)</f>
        <v>empl_041</v>
      </c>
      <c r="I148" t="str">
        <f t="shared" ca="1" si="5"/>
        <v>insert into Local_sales values ('Sale-141', 'cust-186', '08-Apr-2020', 'Prod-004', 'br-009', 'empl_056');</v>
      </c>
    </row>
    <row r="149" spans="1:9" x14ac:dyDescent="0.25">
      <c r="A149" t="s">
        <v>5045</v>
      </c>
      <c r="B149" t="str">
        <f ca="1">r_choice(Customers!$A$2:$A$301)</f>
        <v>cust-263</v>
      </c>
      <c r="C149" s="12">
        <f t="shared" ca="1" si="4"/>
        <v>43935</v>
      </c>
      <c r="D149" t="str">
        <f ca="1">r_choice(Games!$A$2:$A$41)</f>
        <v>Prod-016</v>
      </c>
      <c r="E149" t="str">
        <f ca="1">r_choice(Branches!$A$2:$A$21)</f>
        <v>br-019</v>
      </c>
      <c r="F149" t="str">
        <f ca="1">r_choice(Employees!$A$2:$A$101)</f>
        <v>empl_098</v>
      </c>
      <c r="I149" t="str">
        <f t="shared" ca="1" si="5"/>
        <v>insert into Local_sales values ('Sale-142', 'cust-262', '18-May-2020', 'Prod-007', 'br-016', 'empl_085');</v>
      </c>
    </row>
    <row r="150" spans="1:9" x14ac:dyDescent="0.25">
      <c r="A150" t="s">
        <v>5046</v>
      </c>
      <c r="B150" t="str">
        <f ca="1">r_choice(Customers!$A$2:$A$301)</f>
        <v>cust-008</v>
      </c>
      <c r="C150" s="12">
        <f t="shared" ca="1" si="4"/>
        <v>44054</v>
      </c>
      <c r="D150" t="str">
        <f ca="1">r_choice(Games!$A$2:$A$41)</f>
        <v>Prod-013</v>
      </c>
      <c r="E150" t="str">
        <f ca="1">r_choice(Branches!$A$2:$A$21)</f>
        <v>br-015</v>
      </c>
      <c r="F150" t="str">
        <f ca="1">r_choice(Employees!$A$2:$A$101)</f>
        <v>empl_005</v>
      </c>
      <c r="I150" t="str">
        <f t="shared" ca="1" si="5"/>
        <v>insert into Local_sales values ('Sale-143', 'cust-177', '02-Dec-2020', 'Prod-033', 'br-010', 'empl_001');</v>
      </c>
    </row>
    <row r="151" spans="1:9" x14ac:dyDescent="0.25">
      <c r="A151" t="s">
        <v>5047</v>
      </c>
      <c r="B151" t="str">
        <f ca="1">r_choice(Customers!$A$2:$A$301)</f>
        <v>cust-210</v>
      </c>
      <c r="C151" s="12">
        <f t="shared" ca="1" si="4"/>
        <v>43955</v>
      </c>
      <c r="D151" t="str">
        <f ca="1">r_choice(Games!$A$2:$A$41)</f>
        <v>Prod-021</v>
      </c>
      <c r="E151" t="str">
        <f ca="1">r_choice(Branches!$A$2:$A$21)</f>
        <v>br-019</v>
      </c>
      <c r="F151" t="str">
        <f ca="1">r_choice(Employees!$A$2:$A$101)</f>
        <v>empl_015</v>
      </c>
      <c r="I151" t="str">
        <f t="shared" ca="1" si="5"/>
        <v>insert into Local_sales values ('Sale-144', 'cust-075', '01-May-2020', 'Prod-019', 'br-020', 'empl_005');</v>
      </c>
    </row>
    <row r="152" spans="1:9" x14ac:dyDescent="0.25">
      <c r="A152" t="s">
        <v>5048</v>
      </c>
      <c r="B152" t="str">
        <f ca="1">r_choice(Customers!$A$2:$A$301)</f>
        <v>cust-221</v>
      </c>
      <c r="C152" s="12">
        <f t="shared" ca="1" si="4"/>
        <v>44097</v>
      </c>
      <c r="D152" t="str">
        <f ca="1">r_choice(Games!$A$2:$A$41)</f>
        <v>Prod-005</v>
      </c>
      <c r="E152" t="str">
        <f ca="1">r_choice(Branches!$A$2:$A$21)</f>
        <v>br-006</v>
      </c>
      <c r="F152" t="str">
        <f ca="1">r_choice(Employees!$A$2:$A$101)</f>
        <v>empl_044</v>
      </c>
      <c r="I152" t="str">
        <f t="shared" ca="1" si="5"/>
        <v>insert into Local_sales values ('Sale-145', 'cust-034', '22-Jan-2020', 'Prod-030', 'br-003', 'empl_098');</v>
      </c>
    </row>
    <row r="153" spans="1:9" x14ac:dyDescent="0.25">
      <c r="A153" t="s">
        <v>5049</v>
      </c>
      <c r="B153" t="str">
        <f ca="1">r_choice(Customers!$A$2:$A$301)</f>
        <v>cust-285</v>
      </c>
      <c r="C153" s="12">
        <f t="shared" ca="1" si="4"/>
        <v>44133</v>
      </c>
      <c r="D153" t="str">
        <f ca="1">r_choice(Games!$A$2:$A$41)</f>
        <v>Prod-019</v>
      </c>
      <c r="E153" t="str">
        <f ca="1">r_choice(Branches!$A$2:$A$21)</f>
        <v>br-018</v>
      </c>
      <c r="F153" t="str">
        <f ca="1">r_choice(Employees!$A$2:$A$101)</f>
        <v>empl_008</v>
      </c>
      <c r="I153" t="str">
        <f t="shared" ca="1" si="5"/>
        <v>insert into Local_sales values ('Sale-146', 'cust-022', '17-May-2020', 'Prod-014', 'br-004', 'empl_080');</v>
      </c>
    </row>
    <row r="154" spans="1:9" x14ac:dyDescent="0.25">
      <c r="A154" t="s">
        <v>5050</v>
      </c>
      <c r="B154" t="str">
        <f ca="1">r_choice(Customers!$A$2:$A$301)</f>
        <v>cust-253</v>
      </c>
      <c r="C154" s="12">
        <f t="shared" ca="1" si="4"/>
        <v>44175</v>
      </c>
      <c r="D154" t="str">
        <f ca="1">r_choice(Games!$A$2:$A$41)</f>
        <v>Prod-005</v>
      </c>
      <c r="E154" t="str">
        <f ca="1">r_choice(Branches!$A$2:$A$21)</f>
        <v>br-012</v>
      </c>
      <c r="F154" t="str">
        <f ca="1">r_choice(Employees!$A$2:$A$101)</f>
        <v>empl_030</v>
      </c>
      <c r="I154" t="str">
        <f t="shared" ca="1" si="5"/>
        <v>insert into Local_sales values ('Sale-147', 'cust-292', '05-Sep-2020', 'Prod-023', 'br-004', 'empl_041');</v>
      </c>
    </row>
    <row r="155" spans="1:9" x14ac:dyDescent="0.25">
      <c r="A155" t="s">
        <v>5051</v>
      </c>
      <c r="B155" t="str">
        <f ca="1">r_choice(Customers!$A$2:$A$301)</f>
        <v>cust-079</v>
      </c>
      <c r="C155" s="12">
        <f t="shared" ca="1" si="4"/>
        <v>43903</v>
      </c>
      <c r="D155" t="str">
        <f ca="1">r_choice(Games!$A$2:$A$41)</f>
        <v>Prod-039</v>
      </c>
      <c r="E155" t="str">
        <f ca="1">r_choice(Branches!$A$2:$A$21)</f>
        <v>br-013</v>
      </c>
      <c r="F155" t="str">
        <f ca="1">r_choice(Employees!$A$2:$A$101)</f>
        <v>empl_016</v>
      </c>
      <c r="I155" t="str">
        <f t="shared" ca="1" si="5"/>
        <v>insert into Local_sales values ('Sale-148', 'cust-263', '14-Apr-2020', 'Prod-016', 'br-019', 'empl_098');</v>
      </c>
    </row>
    <row r="156" spans="1:9" x14ac:dyDescent="0.25">
      <c r="A156" t="s">
        <v>5052</v>
      </c>
      <c r="B156" t="str">
        <f ca="1">r_choice(Customers!$A$2:$A$301)</f>
        <v>cust-040</v>
      </c>
      <c r="C156" s="12">
        <f t="shared" ca="1" si="4"/>
        <v>44173</v>
      </c>
      <c r="D156" t="str">
        <f ca="1">r_choice(Games!$A$2:$A$41)</f>
        <v>Prod-027</v>
      </c>
      <c r="E156" t="str">
        <f ca="1">r_choice(Branches!$A$2:$A$21)</f>
        <v>br-004</v>
      </c>
      <c r="F156" t="str">
        <f ca="1">r_choice(Employees!$A$2:$A$101)</f>
        <v>empl_012</v>
      </c>
      <c r="I156" t="str">
        <f t="shared" ca="1" si="5"/>
        <v>insert into Local_sales values ('Sale-149', 'cust-008', '11-Aug-2020', 'Prod-013', 'br-015', 'empl_005');</v>
      </c>
    </row>
    <row r="157" spans="1:9" x14ac:dyDescent="0.25">
      <c r="A157" t="s">
        <v>5053</v>
      </c>
      <c r="B157" t="str">
        <f ca="1">r_choice(Customers!$A$2:$A$301)</f>
        <v>cust-133</v>
      </c>
      <c r="C157" s="12">
        <f t="shared" ca="1" si="4"/>
        <v>44097</v>
      </c>
      <c r="D157" t="str">
        <f ca="1">r_choice(Games!$A$2:$A$41)</f>
        <v>Prod-005</v>
      </c>
      <c r="E157" t="str">
        <f ca="1">r_choice(Branches!$A$2:$A$21)</f>
        <v>br-011</v>
      </c>
      <c r="F157" t="str">
        <f ca="1">r_choice(Employees!$A$2:$A$101)</f>
        <v>empl_037</v>
      </c>
      <c r="I157" t="str">
        <f t="shared" ca="1" si="5"/>
        <v>insert into Local_sales values ('Sale-150', 'cust-210', '04-May-2020', 'Prod-021', 'br-019', 'empl_015');</v>
      </c>
    </row>
    <row r="158" spans="1:9" x14ac:dyDescent="0.25">
      <c r="A158" t="s">
        <v>5054</v>
      </c>
      <c r="B158" t="str">
        <f ca="1">r_choice(Customers!$A$2:$A$301)</f>
        <v>cust-221</v>
      </c>
      <c r="C158" s="12">
        <f t="shared" ca="1" si="4"/>
        <v>44088</v>
      </c>
      <c r="D158" t="str">
        <f ca="1">r_choice(Games!$A$2:$A$41)</f>
        <v>Prod-013</v>
      </c>
      <c r="E158" t="str">
        <f ca="1">r_choice(Branches!$A$2:$A$21)</f>
        <v>br-015</v>
      </c>
      <c r="F158" t="str">
        <f ca="1">r_choice(Employees!$A$2:$A$101)</f>
        <v>empl_010</v>
      </c>
      <c r="I158" t="str">
        <f t="shared" ca="1" si="5"/>
        <v>insert into Local_sales values ('Sale-151', 'cust-221', '23-Sep-2020', 'Prod-005', 'br-006', 'empl_044');</v>
      </c>
    </row>
    <row r="159" spans="1:9" x14ac:dyDescent="0.25">
      <c r="A159" t="s">
        <v>5055</v>
      </c>
      <c r="B159" t="str">
        <f ca="1">r_choice(Customers!$A$2:$A$301)</f>
        <v>cust-195</v>
      </c>
      <c r="C159" s="12">
        <f t="shared" ca="1" si="4"/>
        <v>43962</v>
      </c>
      <c r="D159" t="str">
        <f ca="1">r_choice(Games!$A$2:$A$41)</f>
        <v>Prod-039</v>
      </c>
      <c r="E159" t="str">
        <f ca="1">r_choice(Branches!$A$2:$A$21)</f>
        <v>br-001</v>
      </c>
      <c r="F159" t="str">
        <f ca="1">r_choice(Employees!$A$2:$A$101)</f>
        <v>empl_023</v>
      </c>
      <c r="I159" t="str">
        <f t="shared" ca="1" si="5"/>
        <v>insert into Local_sales values ('Sale-152', 'cust-285', '29-Oct-2020', 'Prod-019', 'br-018', 'empl_008');</v>
      </c>
    </row>
    <row r="160" spans="1:9" x14ac:dyDescent="0.25">
      <c r="A160" t="s">
        <v>5056</v>
      </c>
      <c r="B160" t="str">
        <f ca="1">r_choice(Customers!$A$2:$A$301)</f>
        <v>cust-223</v>
      </c>
      <c r="C160" s="12">
        <f t="shared" ca="1" si="4"/>
        <v>44080</v>
      </c>
      <c r="D160" t="str">
        <f ca="1">r_choice(Games!$A$2:$A$41)</f>
        <v>Prod-026</v>
      </c>
      <c r="E160" t="str">
        <f ca="1">r_choice(Branches!$A$2:$A$21)</f>
        <v>br-005</v>
      </c>
      <c r="F160" t="str">
        <f ca="1">r_choice(Employees!$A$2:$A$101)</f>
        <v>empl_030</v>
      </c>
      <c r="I160" t="str">
        <f t="shared" ca="1" si="5"/>
        <v>insert into Local_sales values ('Sale-153', 'cust-253', '10-Dec-2020', 'Prod-005', 'br-012', 'empl_030');</v>
      </c>
    </row>
    <row r="161" spans="1:9" x14ac:dyDescent="0.25">
      <c r="A161" t="s">
        <v>5057</v>
      </c>
      <c r="B161" t="str">
        <f ca="1">r_choice(Customers!$A$2:$A$301)</f>
        <v>cust-044</v>
      </c>
      <c r="C161" s="12">
        <f t="shared" ca="1" si="4"/>
        <v>44177</v>
      </c>
      <c r="D161" t="str">
        <f ca="1">r_choice(Games!$A$2:$A$41)</f>
        <v>Prod-003</v>
      </c>
      <c r="E161" t="str">
        <f ca="1">r_choice(Branches!$A$2:$A$21)</f>
        <v>br-004</v>
      </c>
      <c r="F161" t="str">
        <f ca="1">r_choice(Employees!$A$2:$A$101)</f>
        <v>empl_090</v>
      </c>
      <c r="I161" t="str">
        <f t="shared" ca="1" si="5"/>
        <v>insert into Local_sales values ('Sale-154', 'cust-079', '13-Mar-2020', 'Prod-039', 'br-013', 'empl_016');</v>
      </c>
    </row>
    <row r="162" spans="1:9" x14ac:dyDescent="0.25">
      <c r="A162" t="s">
        <v>5058</v>
      </c>
      <c r="B162" t="str">
        <f ca="1">r_choice(Customers!$A$2:$A$301)</f>
        <v>cust-067</v>
      </c>
      <c r="C162" s="12">
        <f t="shared" ca="1" si="4"/>
        <v>44134</v>
      </c>
      <c r="D162" t="str">
        <f ca="1">r_choice(Games!$A$2:$A$41)</f>
        <v>Prod-012</v>
      </c>
      <c r="E162" t="str">
        <f ca="1">r_choice(Branches!$A$2:$A$21)</f>
        <v>br-014</v>
      </c>
      <c r="F162" t="str">
        <f ca="1">r_choice(Employees!$A$2:$A$101)</f>
        <v>empl_092</v>
      </c>
      <c r="I162" t="str">
        <f t="shared" ca="1" si="5"/>
        <v>insert into Local_sales values ('Sale-155', 'cust-040', '08-Dec-2020', 'Prod-027', 'br-004', 'empl_012');</v>
      </c>
    </row>
    <row r="163" spans="1:9" x14ac:dyDescent="0.25">
      <c r="A163" t="s">
        <v>5059</v>
      </c>
      <c r="B163" t="str">
        <f ca="1">r_choice(Customers!$A$2:$A$301)</f>
        <v>cust-051</v>
      </c>
      <c r="C163" s="12">
        <f t="shared" ca="1" si="4"/>
        <v>44192</v>
      </c>
      <c r="D163" t="str">
        <f ca="1">r_choice(Games!$A$2:$A$41)</f>
        <v>Prod-037</v>
      </c>
      <c r="E163" t="str">
        <f ca="1">r_choice(Branches!$A$2:$A$21)</f>
        <v>br-015</v>
      </c>
      <c r="F163" t="str">
        <f ca="1">r_choice(Employees!$A$2:$A$101)</f>
        <v>empl_027</v>
      </c>
      <c r="I163" t="str">
        <f t="shared" ca="1" si="5"/>
        <v>insert into Local_sales values ('Sale-156', 'cust-133', '23-Sep-2020', 'Prod-005', 'br-011', 'empl_037');</v>
      </c>
    </row>
    <row r="164" spans="1:9" x14ac:dyDescent="0.25">
      <c r="A164" t="s">
        <v>5060</v>
      </c>
      <c r="B164" t="str">
        <f ca="1">r_choice(Customers!$A$2:$A$301)</f>
        <v>cust-226</v>
      </c>
      <c r="C164" s="12">
        <f t="shared" ca="1" si="4"/>
        <v>44161</v>
      </c>
      <c r="D164" t="str">
        <f ca="1">r_choice(Games!$A$2:$A$41)</f>
        <v>Prod-040</v>
      </c>
      <c r="E164" t="str">
        <f ca="1">r_choice(Branches!$A$2:$A$21)</f>
        <v>br-001</v>
      </c>
      <c r="F164" t="str">
        <f ca="1">r_choice(Employees!$A$2:$A$101)</f>
        <v>empl_078</v>
      </c>
      <c r="I164" t="str">
        <f t="shared" ca="1" si="5"/>
        <v>insert into Local_sales values ('Sale-157', 'cust-221', '14-Sep-2020', 'Prod-013', 'br-015', 'empl_010');</v>
      </c>
    </row>
    <row r="165" spans="1:9" x14ac:dyDescent="0.25">
      <c r="A165" t="s">
        <v>5061</v>
      </c>
      <c r="B165" t="str">
        <f ca="1">r_choice(Customers!$A$2:$A$301)</f>
        <v>cust-063</v>
      </c>
      <c r="C165" s="12">
        <f t="shared" ca="1" si="4"/>
        <v>44031</v>
      </c>
      <c r="D165" t="str">
        <f ca="1">r_choice(Games!$A$2:$A$41)</f>
        <v>Prod-003</v>
      </c>
      <c r="E165" t="str">
        <f ca="1">r_choice(Branches!$A$2:$A$21)</f>
        <v>br-006</v>
      </c>
      <c r="F165" t="str">
        <f ca="1">r_choice(Employees!$A$2:$A$101)</f>
        <v>empl_002</v>
      </c>
      <c r="I165" t="str">
        <f t="shared" ca="1" si="5"/>
        <v>insert into Local_sales values ('Sale-158', 'cust-195', '11-May-2020', 'Prod-039', 'br-001', 'empl_023');</v>
      </c>
    </row>
    <row r="166" spans="1:9" x14ac:dyDescent="0.25">
      <c r="A166" t="s">
        <v>5062</v>
      </c>
      <c r="B166" t="str">
        <f ca="1">r_choice(Customers!$A$2:$A$301)</f>
        <v>cust-124</v>
      </c>
      <c r="C166" s="12">
        <f t="shared" ca="1" si="4"/>
        <v>43916</v>
      </c>
      <c r="D166" t="str">
        <f ca="1">r_choice(Games!$A$2:$A$41)</f>
        <v>Prod-017</v>
      </c>
      <c r="E166" t="str">
        <f ca="1">r_choice(Branches!$A$2:$A$21)</f>
        <v>br-009</v>
      </c>
      <c r="F166" t="str">
        <f ca="1">r_choice(Employees!$A$2:$A$101)</f>
        <v>empl_082</v>
      </c>
      <c r="I166" t="str">
        <f t="shared" ca="1" si="5"/>
        <v>insert into Local_sales values ('Sale-159', 'cust-223', '06-Sep-2020', 'Prod-026', 'br-005', 'empl_030');</v>
      </c>
    </row>
    <row r="167" spans="1:9" x14ac:dyDescent="0.25">
      <c r="A167" t="s">
        <v>5063</v>
      </c>
      <c r="B167" t="str">
        <f ca="1">r_choice(Customers!$A$2:$A$301)</f>
        <v>cust-144</v>
      </c>
      <c r="C167" s="12">
        <f t="shared" ca="1" si="4"/>
        <v>43882</v>
      </c>
      <c r="D167" t="str">
        <f ca="1">r_choice(Games!$A$2:$A$41)</f>
        <v>Prod-036</v>
      </c>
      <c r="E167" t="str">
        <f ca="1">r_choice(Branches!$A$2:$A$21)</f>
        <v>br-014</v>
      </c>
      <c r="F167" t="str">
        <f ca="1">r_choice(Employees!$A$2:$A$101)</f>
        <v>empl_073</v>
      </c>
      <c r="I167" t="str">
        <f t="shared" ca="1" si="5"/>
        <v>insert into Local_sales values ('Sale-160', 'cust-044', '12-Dec-2020', 'Prod-003', 'br-004', 'empl_090');</v>
      </c>
    </row>
    <row r="168" spans="1:9" x14ac:dyDescent="0.25">
      <c r="A168" t="s">
        <v>5064</v>
      </c>
      <c r="B168" t="str">
        <f ca="1">r_choice(Customers!$A$2:$A$301)</f>
        <v>cust-163</v>
      </c>
      <c r="C168" s="12">
        <f t="shared" ca="1" si="4"/>
        <v>43924</v>
      </c>
      <c r="D168" t="str">
        <f ca="1">r_choice(Games!$A$2:$A$41)</f>
        <v>Prod-013</v>
      </c>
      <c r="E168" t="str">
        <f ca="1">r_choice(Branches!$A$2:$A$21)</f>
        <v>br-008</v>
      </c>
      <c r="F168" t="str">
        <f ca="1">r_choice(Employees!$A$2:$A$101)</f>
        <v>empl_086</v>
      </c>
      <c r="I168" t="str">
        <f t="shared" ca="1" si="5"/>
        <v>insert into Local_sales values ('Sale-161', 'cust-067', '30-Oct-2020', 'Prod-012', 'br-014', 'empl_092');</v>
      </c>
    </row>
    <row r="169" spans="1:9" x14ac:dyDescent="0.25">
      <c r="A169" t="s">
        <v>5065</v>
      </c>
      <c r="B169" t="str">
        <f ca="1">r_choice(Customers!$A$2:$A$301)</f>
        <v>cust-188</v>
      </c>
      <c r="C169" s="12">
        <f t="shared" ca="1" si="4"/>
        <v>44045</v>
      </c>
      <c r="D169" t="str">
        <f ca="1">r_choice(Games!$A$2:$A$41)</f>
        <v>Prod-011</v>
      </c>
      <c r="E169" t="str">
        <f ca="1">r_choice(Branches!$A$2:$A$21)</f>
        <v>br-016</v>
      </c>
      <c r="F169" t="str">
        <f ca="1">r_choice(Employees!$A$2:$A$101)</f>
        <v>empl_074</v>
      </c>
      <c r="I169" t="str">
        <f t="shared" ca="1" si="5"/>
        <v>insert into Local_sales values ('Sale-162', 'cust-051', '27-Dec-2020', 'Prod-037', 'br-015', 'empl_027');</v>
      </c>
    </row>
    <row r="170" spans="1:9" x14ac:dyDescent="0.25">
      <c r="A170" t="s">
        <v>5066</v>
      </c>
      <c r="B170" t="str">
        <f ca="1">r_choice(Customers!$A$2:$A$301)</f>
        <v>cust-062</v>
      </c>
      <c r="C170" s="12">
        <f t="shared" ca="1" si="4"/>
        <v>43871</v>
      </c>
      <c r="D170" t="str">
        <f ca="1">r_choice(Games!$A$2:$A$41)</f>
        <v>Prod-034</v>
      </c>
      <c r="E170" t="str">
        <f ca="1">r_choice(Branches!$A$2:$A$21)</f>
        <v>br-004</v>
      </c>
      <c r="F170" t="str">
        <f ca="1">r_choice(Employees!$A$2:$A$101)</f>
        <v>empl_094</v>
      </c>
      <c r="I170" t="str">
        <f t="shared" ca="1" si="5"/>
        <v>insert into Local_sales values ('Sale-163', 'cust-226', '26-Nov-2020', 'Prod-040', 'br-001', 'empl_078');</v>
      </c>
    </row>
    <row r="171" spans="1:9" x14ac:dyDescent="0.25">
      <c r="A171" t="s">
        <v>5067</v>
      </c>
      <c r="B171" t="str">
        <f ca="1">r_choice(Customers!$A$2:$A$301)</f>
        <v>cust-299</v>
      </c>
      <c r="C171" s="12">
        <f t="shared" ca="1" si="4"/>
        <v>44005</v>
      </c>
      <c r="D171" t="str">
        <f ca="1">r_choice(Games!$A$2:$A$41)</f>
        <v>Prod-003</v>
      </c>
      <c r="E171" t="str">
        <f ca="1">r_choice(Branches!$A$2:$A$21)</f>
        <v>br-018</v>
      </c>
      <c r="F171" t="str">
        <f ca="1">r_choice(Employees!$A$2:$A$101)</f>
        <v>empl_061</v>
      </c>
      <c r="I171" t="str">
        <f t="shared" ca="1" si="5"/>
        <v>insert into Local_sales values ('Sale-164', 'cust-063', '19-Jul-2020', 'Prod-003', 'br-006', 'empl_002');</v>
      </c>
    </row>
    <row r="172" spans="1:9" x14ac:dyDescent="0.25">
      <c r="A172" t="s">
        <v>5068</v>
      </c>
      <c r="B172" t="str">
        <f ca="1">r_choice(Customers!$A$2:$A$301)</f>
        <v>cust-073</v>
      </c>
      <c r="C172" s="12">
        <f t="shared" ca="1" si="4"/>
        <v>44142</v>
      </c>
      <c r="D172" t="str">
        <f ca="1">r_choice(Games!$A$2:$A$41)</f>
        <v>Prod-040</v>
      </c>
      <c r="E172" t="str">
        <f ca="1">r_choice(Branches!$A$2:$A$21)</f>
        <v>br-010</v>
      </c>
      <c r="F172" t="str">
        <f ca="1">r_choice(Employees!$A$2:$A$101)</f>
        <v>empl_015</v>
      </c>
      <c r="I172" t="str">
        <f t="shared" ca="1" si="5"/>
        <v>insert into Local_sales values ('Sale-165', 'cust-124', '26-Mar-2020', 'Prod-017', 'br-009', 'empl_082');</v>
      </c>
    </row>
    <row r="173" spans="1:9" x14ac:dyDescent="0.25">
      <c r="A173" t="s">
        <v>5069</v>
      </c>
      <c r="B173" t="str">
        <f ca="1">r_choice(Customers!$A$2:$A$301)</f>
        <v>cust-184</v>
      </c>
      <c r="C173" s="12">
        <f t="shared" ca="1" si="4"/>
        <v>43991</v>
      </c>
      <c r="D173" t="str">
        <f ca="1">r_choice(Games!$A$2:$A$41)</f>
        <v>Prod-010</v>
      </c>
      <c r="E173" t="str">
        <f ca="1">r_choice(Branches!$A$2:$A$21)</f>
        <v>br-017</v>
      </c>
      <c r="F173" t="str">
        <f ca="1">r_choice(Employees!$A$2:$A$101)</f>
        <v>empl_082</v>
      </c>
      <c r="I173" t="str">
        <f t="shared" ca="1" si="5"/>
        <v>insert into Local_sales values ('Sale-166', 'cust-144', '21-Feb-2020', 'Prod-036', 'br-014', 'empl_073');</v>
      </c>
    </row>
    <row r="174" spans="1:9" x14ac:dyDescent="0.25">
      <c r="A174" t="s">
        <v>5070</v>
      </c>
      <c r="B174" t="str">
        <f ca="1">r_choice(Customers!$A$2:$A$301)</f>
        <v>cust-126</v>
      </c>
      <c r="C174" s="12">
        <f t="shared" ca="1" si="4"/>
        <v>43841</v>
      </c>
      <c r="D174" t="str">
        <f ca="1">r_choice(Games!$A$2:$A$41)</f>
        <v>Prod-034</v>
      </c>
      <c r="E174" t="str">
        <f ca="1">r_choice(Branches!$A$2:$A$21)</f>
        <v>br-008</v>
      </c>
      <c r="F174" t="str">
        <f ca="1">r_choice(Employees!$A$2:$A$101)</f>
        <v>empl_081</v>
      </c>
      <c r="I174" t="str">
        <f t="shared" ca="1" si="5"/>
        <v>insert into Local_sales values ('Sale-167', 'cust-163', '03-Apr-2020', 'Prod-013', 'br-008', 'empl_086');</v>
      </c>
    </row>
    <row r="175" spans="1:9" x14ac:dyDescent="0.25">
      <c r="A175" t="s">
        <v>5071</v>
      </c>
      <c r="B175" t="str">
        <f ca="1">r_choice(Customers!$A$2:$A$301)</f>
        <v>cust-254</v>
      </c>
      <c r="C175" s="12">
        <f t="shared" ca="1" si="4"/>
        <v>44038</v>
      </c>
      <c r="D175" t="str">
        <f ca="1">r_choice(Games!$A$2:$A$41)</f>
        <v>Prod-009</v>
      </c>
      <c r="E175" t="str">
        <f ca="1">r_choice(Branches!$A$2:$A$21)</f>
        <v>br-007</v>
      </c>
      <c r="F175" t="str">
        <f ca="1">r_choice(Employees!$A$2:$A$101)</f>
        <v>empl_086</v>
      </c>
      <c r="I175" t="str">
        <f t="shared" ca="1" si="5"/>
        <v>insert into Local_sales values ('Sale-168', 'cust-188', '02-Aug-2020', 'Prod-011', 'br-016', 'empl_074');</v>
      </c>
    </row>
    <row r="176" spans="1:9" x14ac:dyDescent="0.25">
      <c r="A176" t="s">
        <v>5072</v>
      </c>
      <c r="B176" t="str">
        <f ca="1">r_choice(Customers!$A$2:$A$301)</f>
        <v>cust-055</v>
      </c>
      <c r="C176" s="12">
        <f t="shared" ca="1" si="4"/>
        <v>43893</v>
      </c>
      <c r="D176" t="str">
        <f ca="1">r_choice(Games!$A$2:$A$41)</f>
        <v>Prod-025</v>
      </c>
      <c r="E176" t="str">
        <f ca="1">r_choice(Branches!$A$2:$A$21)</f>
        <v>br-013</v>
      </c>
      <c r="F176" t="str">
        <f ca="1">r_choice(Employees!$A$2:$A$101)</f>
        <v>empl_008</v>
      </c>
      <c r="I176" t="str">
        <f t="shared" ca="1" si="5"/>
        <v>insert into Local_sales values ('Sale-169', 'cust-062', '10-Feb-2020', 'Prod-034', 'br-004', 'empl_094');</v>
      </c>
    </row>
    <row r="177" spans="1:9" x14ac:dyDescent="0.25">
      <c r="A177" t="s">
        <v>5073</v>
      </c>
      <c r="B177" t="str">
        <f ca="1">r_choice(Customers!$A$2:$A$301)</f>
        <v>cust-205</v>
      </c>
      <c r="C177" s="12">
        <f t="shared" ca="1" si="4"/>
        <v>43976</v>
      </c>
      <c r="D177" t="str">
        <f ca="1">r_choice(Games!$A$2:$A$41)</f>
        <v>Prod-037</v>
      </c>
      <c r="E177" t="str">
        <f ca="1">r_choice(Branches!$A$2:$A$21)</f>
        <v>br-015</v>
      </c>
      <c r="F177" t="str">
        <f ca="1">r_choice(Employees!$A$2:$A$101)</f>
        <v>empl_005</v>
      </c>
      <c r="I177" t="str">
        <f t="shared" ca="1" si="5"/>
        <v>insert into Local_sales values ('Sale-170', 'cust-299', '23-Jun-2020', 'Prod-003', 'br-018', 'empl_061');</v>
      </c>
    </row>
    <row r="178" spans="1:9" x14ac:dyDescent="0.25">
      <c r="A178" t="s">
        <v>5074</v>
      </c>
      <c r="B178" t="str">
        <f ca="1">r_choice(Customers!$A$2:$A$301)</f>
        <v>cust-004</v>
      </c>
      <c r="C178" s="12">
        <f t="shared" ca="1" si="4"/>
        <v>44128</v>
      </c>
      <c r="D178" t="str">
        <f ca="1">r_choice(Games!$A$2:$A$41)</f>
        <v>Prod-040</v>
      </c>
      <c r="E178" t="str">
        <f ca="1">r_choice(Branches!$A$2:$A$21)</f>
        <v>br-001</v>
      </c>
      <c r="F178" t="str">
        <f ca="1">r_choice(Employees!$A$2:$A$101)</f>
        <v>empl_041</v>
      </c>
      <c r="I178" t="str">
        <f t="shared" ca="1" si="5"/>
        <v>insert into Local_sales values ('Sale-171', 'cust-073', '07-Nov-2020', 'Prod-040', 'br-010', 'empl_015');</v>
      </c>
    </row>
    <row r="179" spans="1:9" x14ac:dyDescent="0.25">
      <c r="A179" t="s">
        <v>5075</v>
      </c>
      <c r="B179" t="str">
        <f ca="1">r_choice(Customers!$A$2:$A$301)</f>
        <v>cust-248</v>
      </c>
      <c r="C179" s="12">
        <f t="shared" ca="1" si="4"/>
        <v>44050</v>
      </c>
      <c r="D179" t="str">
        <f ca="1">r_choice(Games!$A$2:$A$41)</f>
        <v>Prod-016</v>
      </c>
      <c r="E179" t="str">
        <f ca="1">r_choice(Branches!$A$2:$A$21)</f>
        <v>br-008</v>
      </c>
      <c r="F179" t="str">
        <f ca="1">r_choice(Employees!$A$2:$A$101)</f>
        <v>empl_096</v>
      </c>
      <c r="I179" t="str">
        <f t="shared" ca="1" si="5"/>
        <v>insert into Local_sales values ('Sale-172', 'cust-184', '09-Jun-2020', 'Prod-010', 'br-017', 'empl_082');</v>
      </c>
    </row>
    <row r="180" spans="1:9" x14ac:dyDescent="0.25">
      <c r="A180" t="s">
        <v>5076</v>
      </c>
      <c r="B180" t="str">
        <f ca="1">r_choice(Customers!$A$2:$A$301)</f>
        <v>cust-027</v>
      </c>
      <c r="C180" s="12">
        <f t="shared" ca="1" si="4"/>
        <v>44032</v>
      </c>
      <c r="D180" t="str">
        <f ca="1">r_choice(Games!$A$2:$A$41)</f>
        <v>Prod-033</v>
      </c>
      <c r="E180" t="str">
        <f ca="1">r_choice(Branches!$A$2:$A$21)</f>
        <v>br-012</v>
      </c>
      <c r="F180" t="str">
        <f ca="1">r_choice(Employees!$A$2:$A$101)</f>
        <v>empl_049</v>
      </c>
      <c r="I180" t="str">
        <f t="shared" ca="1" si="5"/>
        <v>insert into Local_sales values ('Sale-173', 'cust-126', '11-Jan-2020', 'Prod-034', 'br-008', 'empl_081');</v>
      </c>
    </row>
    <row r="181" spans="1:9" x14ac:dyDescent="0.25">
      <c r="A181" t="s">
        <v>5077</v>
      </c>
      <c r="B181" t="str">
        <f ca="1">r_choice(Customers!$A$2:$A$301)</f>
        <v>cust-057</v>
      </c>
      <c r="C181" s="12">
        <f t="shared" ca="1" si="4"/>
        <v>44157</v>
      </c>
      <c r="D181" t="str">
        <f ca="1">r_choice(Games!$A$2:$A$41)</f>
        <v>Prod-029</v>
      </c>
      <c r="E181" t="str">
        <f ca="1">r_choice(Branches!$A$2:$A$21)</f>
        <v>br-017</v>
      </c>
      <c r="F181" t="str">
        <f ca="1">r_choice(Employees!$A$2:$A$101)</f>
        <v>empl_015</v>
      </c>
      <c r="I181" t="str">
        <f t="shared" ca="1" si="5"/>
        <v>insert into Local_sales values ('Sale-174', 'cust-254', '26-Jul-2020', 'Prod-009', 'br-007', 'empl_086');</v>
      </c>
    </row>
    <row r="182" spans="1:9" x14ac:dyDescent="0.25">
      <c r="A182" t="s">
        <v>5078</v>
      </c>
      <c r="B182" t="str">
        <f ca="1">r_choice(Customers!$A$2:$A$301)</f>
        <v>cust-066</v>
      </c>
      <c r="C182" s="12">
        <f t="shared" ca="1" si="4"/>
        <v>43966</v>
      </c>
      <c r="D182" t="str">
        <f ca="1">r_choice(Games!$A$2:$A$41)</f>
        <v>Prod-011</v>
      </c>
      <c r="E182" t="str">
        <f ca="1">r_choice(Branches!$A$2:$A$21)</f>
        <v>br-003</v>
      </c>
      <c r="F182" t="str">
        <f ca="1">r_choice(Employees!$A$2:$A$101)</f>
        <v>empl_024</v>
      </c>
      <c r="I182" t="str">
        <f t="shared" ca="1" si="5"/>
        <v>insert into Local_sales values ('Sale-175', 'cust-055', '03-Mar-2020', 'Prod-025', 'br-013', 'empl_008');</v>
      </c>
    </row>
    <row r="183" spans="1:9" x14ac:dyDescent="0.25">
      <c r="A183" t="s">
        <v>5079</v>
      </c>
      <c r="B183" t="str">
        <f ca="1">r_choice(Customers!$A$2:$A$301)</f>
        <v>cust-135</v>
      </c>
      <c r="C183" s="12">
        <f t="shared" ca="1" si="4"/>
        <v>44017</v>
      </c>
      <c r="D183" t="str">
        <f ca="1">r_choice(Games!$A$2:$A$41)</f>
        <v>Prod-038</v>
      </c>
      <c r="E183" t="str">
        <f ca="1">r_choice(Branches!$A$2:$A$21)</f>
        <v>br-012</v>
      </c>
      <c r="F183" t="str">
        <f ca="1">r_choice(Employees!$A$2:$A$101)</f>
        <v>empl_059</v>
      </c>
      <c r="I183" t="str">
        <f t="shared" ca="1" si="5"/>
        <v>insert into Local_sales values ('Sale-176', 'cust-205', '25-May-2020', 'Prod-037', 'br-015', 'empl_005');</v>
      </c>
    </row>
    <row r="184" spans="1:9" x14ac:dyDescent="0.25">
      <c r="A184" t="s">
        <v>5080</v>
      </c>
      <c r="B184" t="str">
        <f ca="1">r_choice(Customers!$A$2:$A$301)</f>
        <v>cust-174</v>
      </c>
      <c r="C184" s="12">
        <f t="shared" ca="1" si="4"/>
        <v>43890</v>
      </c>
      <c r="D184" t="str">
        <f ca="1">r_choice(Games!$A$2:$A$41)</f>
        <v>Prod-021</v>
      </c>
      <c r="E184" t="str">
        <f ca="1">r_choice(Branches!$A$2:$A$21)</f>
        <v>br-009</v>
      </c>
      <c r="F184" t="str">
        <f ca="1">r_choice(Employees!$A$2:$A$101)</f>
        <v>empl_080</v>
      </c>
      <c r="I184" t="str">
        <f t="shared" ca="1" si="5"/>
        <v>insert into Local_sales values ('Sale-177', 'cust-004', '24-Oct-2020', 'Prod-040', 'br-001', 'empl_041');</v>
      </c>
    </row>
    <row r="185" spans="1:9" x14ac:dyDescent="0.25">
      <c r="A185" t="s">
        <v>5081</v>
      </c>
      <c r="B185" t="str">
        <f ca="1">r_choice(Customers!$A$2:$A$301)</f>
        <v>cust-220</v>
      </c>
      <c r="C185" s="12">
        <f t="shared" ca="1" si="4"/>
        <v>44133</v>
      </c>
      <c r="D185" t="str">
        <f ca="1">r_choice(Games!$A$2:$A$41)</f>
        <v>Prod-008</v>
      </c>
      <c r="E185" t="str">
        <f ca="1">r_choice(Branches!$A$2:$A$21)</f>
        <v>br-001</v>
      </c>
      <c r="F185" t="str">
        <f ca="1">r_choice(Employees!$A$2:$A$101)</f>
        <v>empl_042</v>
      </c>
      <c r="I185" t="str">
        <f t="shared" ca="1" si="5"/>
        <v>insert into Local_sales values ('Sale-178', 'cust-248', '07-Aug-2020', 'Prod-016', 'br-008', 'empl_096');</v>
      </c>
    </row>
    <row r="186" spans="1:9" x14ac:dyDescent="0.25">
      <c r="A186" t="s">
        <v>5082</v>
      </c>
      <c r="B186" t="str">
        <f ca="1">r_choice(Customers!$A$2:$A$301)</f>
        <v>cust-019</v>
      </c>
      <c r="C186" s="12">
        <f t="shared" ca="1" si="4"/>
        <v>43891</v>
      </c>
      <c r="D186" t="str">
        <f ca="1">r_choice(Games!$A$2:$A$41)</f>
        <v>Prod-021</v>
      </c>
      <c r="E186" t="str">
        <f ca="1">r_choice(Branches!$A$2:$A$21)</f>
        <v>br-008</v>
      </c>
      <c r="F186" t="str">
        <f ca="1">r_choice(Employees!$A$2:$A$101)</f>
        <v>empl_087</v>
      </c>
      <c r="I186" t="str">
        <f t="shared" ca="1" si="5"/>
        <v>insert into Local_sales values ('Sale-179', 'cust-027', '20-Jul-2020', 'Prod-033', 'br-012', 'empl_049');</v>
      </c>
    </row>
    <row r="187" spans="1:9" x14ac:dyDescent="0.25">
      <c r="A187" t="s">
        <v>5083</v>
      </c>
      <c r="B187" t="str">
        <f ca="1">r_choice(Customers!$A$2:$A$301)</f>
        <v>cust-027</v>
      </c>
      <c r="C187" s="12">
        <f t="shared" ca="1" si="4"/>
        <v>43959</v>
      </c>
      <c r="D187" t="str">
        <f ca="1">r_choice(Games!$A$2:$A$41)</f>
        <v>Prod-012</v>
      </c>
      <c r="E187" t="str">
        <f ca="1">r_choice(Branches!$A$2:$A$21)</f>
        <v>br-008</v>
      </c>
      <c r="F187" t="str">
        <f ca="1">r_choice(Employees!$A$2:$A$101)</f>
        <v>empl_093</v>
      </c>
      <c r="I187" t="str">
        <f t="shared" ca="1" si="5"/>
        <v>insert into Local_sales values ('Sale-180', 'cust-057', '22-Nov-2020', 'Prod-029', 'br-017', 'empl_015');</v>
      </c>
    </row>
    <row r="188" spans="1:9" x14ac:dyDescent="0.25">
      <c r="A188" t="s">
        <v>5084</v>
      </c>
      <c r="B188" t="str">
        <f ca="1">r_choice(Customers!$A$2:$A$301)</f>
        <v>cust-173</v>
      </c>
      <c r="C188" s="12">
        <f t="shared" ca="1" si="4"/>
        <v>43983</v>
      </c>
      <c r="D188" t="str">
        <f ca="1">r_choice(Games!$A$2:$A$41)</f>
        <v>Prod-001</v>
      </c>
      <c r="E188" t="str">
        <f ca="1">r_choice(Branches!$A$2:$A$21)</f>
        <v>br-018</v>
      </c>
      <c r="F188" t="str">
        <f ca="1">r_choice(Employees!$A$2:$A$101)</f>
        <v>empl_083</v>
      </c>
      <c r="I188" t="str">
        <f t="shared" ca="1" si="5"/>
        <v>insert into Local_sales values ('Sale-181', 'cust-066', '15-May-2020', 'Prod-011', 'br-003', 'empl_024');</v>
      </c>
    </row>
    <row r="189" spans="1:9" x14ac:dyDescent="0.25">
      <c r="A189" t="s">
        <v>5085</v>
      </c>
      <c r="B189" t="str">
        <f ca="1">r_choice(Customers!$A$2:$A$301)</f>
        <v>cust-214</v>
      </c>
      <c r="C189" s="12">
        <f t="shared" ca="1" si="4"/>
        <v>44011</v>
      </c>
      <c r="D189" t="str">
        <f ca="1">r_choice(Games!$A$2:$A$41)</f>
        <v>Prod-035</v>
      </c>
      <c r="E189" t="str">
        <f ca="1">r_choice(Branches!$A$2:$A$21)</f>
        <v>br-011</v>
      </c>
      <c r="F189" t="str">
        <f ca="1">r_choice(Employees!$A$2:$A$101)</f>
        <v>empl_001</v>
      </c>
      <c r="I189" t="str">
        <f t="shared" ca="1" si="5"/>
        <v>insert into Local_sales values ('Sale-182', 'cust-135', '05-Jul-2020', 'Prod-038', 'br-012', 'empl_059');</v>
      </c>
    </row>
    <row r="190" spans="1:9" x14ac:dyDescent="0.25">
      <c r="A190" t="s">
        <v>5086</v>
      </c>
      <c r="B190" t="str">
        <f ca="1">r_choice(Customers!$A$2:$A$301)</f>
        <v>cust-211</v>
      </c>
      <c r="C190" s="12">
        <f t="shared" ca="1" si="4"/>
        <v>44066</v>
      </c>
      <c r="D190" t="str">
        <f ca="1">r_choice(Games!$A$2:$A$41)</f>
        <v>Prod-028</v>
      </c>
      <c r="E190" t="str">
        <f ca="1">r_choice(Branches!$A$2:$A$21)</f>
        <v>br-003</v>
      </c>
      <c r="F190" t="str">
        <f ca="1">r_choice(Employees!$A$2:$A$101)</f>
        <v>empl_047</v>
      </c>
      <c r="I190" t="str">
        <f t="shared" ca="1" si="5"/>
        <v>insert into Local_sales values ('Sale-183', 'cust-174', '29-Feb-2020', 'Prod-021', 'br-009', 'empl_080');</v>
      </c>
    </row>
    <row r="191" spans="1:9" x14ac:dyDescent="0.25">
      <c r="A191" t="s">
        <v>5087</v>
      </c>
      <c r="B191" t="str">
        <f ca="1">r_choice(Customers!$A$2:$A$301)</f>
        <v>cust-221</v>
      </c>
      <c r="C191" s="12">
        <f t="shared" ca="1" si="4"/>
        <v>43991</v>
      </c>
      <c r="D191" t="str">
        <f ca="1">r_choice(Games!$A$2:$A$41)</f>
        <v>Prod-004</v>
      </c>
      <c r="E191" t="str">
        <f ca="1">r_choice(Branches!$A$2:$A$21)</f>
        <v>br-013</v>
      </c>
      <c r="F191" t="str">
        <f ca="1">r_choice(Employees!$A$2:$A$101)</f>
        <v>empl_027</v>
      </c>
      <c r="I191" t="str">
        <f t="shared" ca="1" si="5"/>
        <v>insert into Local_sales values ('Sale-184', 'cust-220', '29-Oct-2020', 'Prod-008', 'br-001', 'empl_042');</v>
      </c>
    </row>
    <row r="192" spans="1:9" x14ac:dyDescent="0.25">
      <c r="A192" t="s">
        <v>5088</v>
      </c>
      <c r="B192" t="str">
        <f ca="1">r_choice(Customers!$A$2:$A$301)</f>
        <v>cust-160</v>
      </c>
      <c r="C192" s="12">
        <f t="shared" ca="1" si="4"/>
        <v>43910</v>
      </c>
      <c r="D192" t="str">
        <f ca="1">r_choice(Games!$A$2:$A$41)</f>
        <v>Prod-040</v>
      </c>
      <c r="E192" t="str">
        <f ca="1">r_choice(Branches!$A$2:$A$21)</f>
        <v>br-017</v>
      </c>
      <c r="F192" t="str">
        <f ca="1">r_choice(Employees!$A$2:$A$101)</f>
        <v>empl_066</v>
      </c>
      <c r="I192" t="str">
        <f t="shared" ca="1" si="5"/>
        <v>insert into Local_sales values ('Sale-185', 'cust-019', '01-Mar-2020', 'Prod-021', 'br-008', 'empl_087');</v>
      </c>
    </row>
    <row r="193" spans="1:9" x14ac:dyDescent="0.25">
      <c r="A193" t="s">
        <v>5089</v>
      </c>
      <c r="B193" t="str">
        <f ca="1">r_choice(Customers!$A$2:$A$301)</f>
        <v>cust-136</v>
      </c>
      <c r="C193" s="12">
        <f t="shared" ca="1" si="4"/>
        <v>43864</v>
      </c>
      <c r="D193" t="str">
        <f ca="1">r_choice(Games!$A$2:$A$41)</f>
        <v>Prod-015</v>
      </c>
      <c r="E193" t="str">
        <f ca="1">r_choice(Branches!$A$2:$A$21)</f>
        <v>br-012</v>
      </c>
      <c r="F193" t="str">
        <f ca="1">r_choice(Employees!$A$2:$A$101)</f>
        <v>empl_003</v>
      </c>
      <c r="I193" t="str">
        <f t="shared" ca="1" si="5"/>
        <v>insert into Local_sales values ('Sale-186', 'cust-027', '08-May-2020', 'Prod-012', 'br-008', 'empl_093');</v>
      </c>
    </row>
    <row r="194" spans="1:9" x14ac:dyDescent="0.25">
      <c r="A194" t="s">
        <v>5090</v>
      </c>
      <c r="B194" t="str">
        <f ca="1">r_choice(Customers!$A$2:$A$301)</f>
        <v>cust-116</v>
      </c>
      <c r="C194" s="12">
        <f t="shared" ca="1" si="4"/>
        <v>44097</v>
      </c>
      <c r="D194" t="str">
        <f ca="1">r_choice(Games!$A$2:$A$41)</f>
        <v>Prod-036</v>
      </c>
      <c r="E194" t="str">
        <f ca="1">r_choice(Branches!$A$2:$A$21)</f>
        <v>br-016</v>
      </c>
      <c r="F194" t="str">
        <f ca="1">r_choice(Employees!$A$2:$A$101)</f>
        <v>empl_019</v>
      </c>
      <c r="I194" t="str">
        <f t="shared" ca="1" si="5"/>
        <v>insert into Local_sales values ('Sale-187', 'cust-173', '01-Jun-2020', 'Prod-001', 'br-018', 'empl_083');</v>
      </c>
    </row>
    <row r="195" spans="1:9" x14ac:dyDescent="0.25">
      <c r="A195" t="s">
        <v>5091</v>
      </c>
      <c r="B195" t="str">
        <f ca="1">r_choice(Customers!$A$2:$A$301)</f>
        <v>cust-187</v>
      </c>
      <c r="C195" s="12">
        <f t="shared" ref="C195:C258" ca="1" si="6">r_date(2020,1,2020,12)</f>
        <v>44179</v>
      </c>
      <c r="D195" t="str">
        <f ca="1">r_choice(Games!$A$2:$A$41)</f>
        <v>Prod-017</v>
      </c>
      <c r="E195" t="str">
        <f ca="1">r_choice(Branches!$A$2:$A$21)</f>
        <v>br-010</v>
      </c>
      <c r="F195" t="str">
        <f ca="1">r_choice(Employees!$A$2:$A$101)</f>
        <v>empl_022</v>
      </c>
      <c r="I195" t="str">
        <f t="shared" ca="1" si="5"/>
        <v>insert into Local_sales values ('Sale-188', 'cust-214', '29-Jun-2020', 'Prod-035', 'br-011', 'empl_001');</v>
      </c>
    </row>
    <row r="196" spans="1:9" x14ac:dyDescent="0.25">
      <c r="A196" t="s">
        <v>5092</v>
      </c>
      <c r="B196" t="str">
        <f ca="1">r_choice(Customers!$A$2:$A$301)</f>
        <v>cust-251</v>
      </c>
      <c r="C196" s="12">
        <f t="shared" ca="1" si="6"/>
        <v>44073</v>
      </c>
      <c r="D196" t="str">
        <f ca="1">r_choice(Games!$A$2:$A$41)</f>
        <v>Prod-036</v>
      </c>
      <c r="E196" t="str">
        <f ca="1">r_choice(Branches!$A$2:$A$21)</f>
        <v>br-011</v>
      </c>
      <c r="F196" t="str">
        <f ca="1">r_choice(Employees!$A$2:$A$101)</f>
        <v>empl_073</v>
      </c>
      <c r="I196" t="str">
        <f t="shared" ca="1" si="5"/>
        <v>insert into Local_sales values ('Sale-189', 'cust-211', '23-Aug-2020', 'Prod-028', 'br-003', 'empl_047');</v>
      </c>
    </row>
    <row r="197" spans="1:9" x14ac:dyDescent="0.25">
      <c r="A197" t="s">
        <v>5093</v>
      </c>
      <c r="B197" t="str">
        <f ca="1">r_choice(Customers!$A$2:$A$301)</f>
        <v>cust-243</v>
      </c>
      <c r="C197" s="12">
        <f t="shared" ca="1" si="6"/>
        <v>44126</v>
      </c>
      <c r="D197" t="str">
        <f ca="1">r_choice(Games!$A$2:$A$41)</f>
        <v>Prod-032</v>
      </c>
      <c r="E197" t="str">
        <f ca="1">r_choice(Branches!$A$2:$A$21)</f>
        <v>br-002</v>
      </c>
      <c r="F197" t="str">
        <f ca="1">r_choice(Employees!$A$2:$A$101)</f>
        <v>empl_026</v>
      </c>
      <c r="I197" t="str">
        <f t="shared" ca="1" si="5"/>
        <v>insert into Local_sales values ('Sale-190', 'cust-221', '09-Jun-2020', 'Prod-004', 'br-013', 'empl_027');</v>
      </c>
    </row>
    <row r="198" spans="1:9" x14ac:dyDescent="0.25">
      <c r="A198" t="s">
        <v>5094</v>
      </c>
      <c r="B198" t="str">
        <f ca="1">r_choice(Customers!$A$2:$A$301)</f>
        <v>cust-124</v>
      </c>
      <c r="C198" s="12">
        <f t="shared" ca="1" si="6"/>
        <v>44107</v>
      </c>
      <c r="D198" t="str">
        <f ca="1">r_choice(Games!$A$2:$A$41)</f>
        <v>Prod-025</v>
      </c>
      <c r="E198" t="str">
        <f ca="1">r_choice(Branches!$A$2:$A$21)</f>
        <v>br-020</v>
      </c>
      <c r="F198" t="str">
        <f ca="1">r_choice(Employees!$A$2:$A$101)</f>
        <v>empl_094</v>
      </c>
      <c r="I198" t="str">
        <f t="shared" ca="1" si="5"/>
        <v>insert into Local_sales values ('Sale-191', 'cust-160', '20-Mar-2020', 'Prod-040', 'br-017', 'empl_066');</v>
      </c>
    </row>
    <row r="199" spans="1:9" x14ac:dyDescent="0.25">
      <c r="A199" t="s">
        <v>5095</v>
      </c>
      <c r="B199" t="str">
        <f ca="1">r_choice(Customers!$A$2:$A$301)</f>
        <v>cust-149</v>
      </c>
      <c r="C199" s="12">
        <f t="shared" ca="1" si="6"/>
        <v>43875</v>
      </c>
      <c r="D199" t="str">
        <f ca="1">r_choice(Games!$A$2:$A$41)</f>
        <v>Prod-033</v>
      </c>
      <c r="E199" t="str">
        <f ca="1">r_choice(Branches!$A$2:$A$21)</f>
        <v>br-018</v>
      </c>
      <c r="F199" t="str">
        <f ca="1">r_choice(Employees!$A$2:$A$101)</f>
        <v>empl_039</v>
      </c>
      <c r="I199" t="str">
        <f t="shared" ca="1" si="5"/>
        <v>insert into Local_sales values ('Sale-192', 'cust-136', '03-Feb-2020', 'Prod-015', 'br-012', 'empl_003');</v>
      </c>
    </row>
    <row r="200" spans="1:9" x14ac:dyDescent="0.25">
      <c r="A200" t="s">
        <v>5096</v>
      </c>
      <c r="B200" t="str">
        <f ca="1">r_choice(Customers!$A$2:$A$301)</f>
        <v>cust-250</v>
      </c>
      <c r="C200" s="12">
        <f t="shared" ca="1" si="6"/>
        <v>44142</v>
      </c>
      <c r="D200" t="str">
        <f ca="1">r_choice(Games!$A$2:$A$41)</f>
        <v>Prod-019</v>
      </c>
      <c r="E200" t="str">
        <f ca="1">r_choice(Branches!$A$2:$A$21)</f>
        <v>br-009</v>
      </c>
      <c r="F200" t="str">
        <f ca="1">r_choice(Employees!$A$2:$A$101)</f>
        <v>empl_086</v>
      </c>
      <c r="I200" t="str">
        <f t="shared" ref="I200:I263" ca="1" si="7">insertinto(A194:F194,$I$1:$J$6,"Local_sales")</f>
        <v>insert into Local_sales values ('Sale-193', 'cust-116', '23-Sep-2020', 'Prod-036', 'br-016', 'empl_019');</v>
      </c>
    </row>
    <row r="201" spans="1:9" x14ac:dyDescent="0.25">
      <c r="A201" t="s">
        <v>5097</v>
      </c>
      <c r="B201" t="str">
        <f ca="1">r_choice(Customers!$A$2:$A$301)</f>
        <v>cust-239</v>
      </c>
      <c r="C201" s="12">
        <f t="shared" ca="1" si="6"/>
        <v>43976</v>
      </c>
      <c r="D201" t="str">
        <f ca="1">r_choice(Games!$A$2:$A$41)</f>
        <v>Prod-034</v>
      </c>
      <c r="E201" t="str">
        <f ca="1">r_choice(Branches!$A$2:$A$21)</f>
        <v>br-015</v>
      </c>
      <c r="F201" t="str">
        <f ca="1">r_choice(Employees!$A$2:$A$101)</f>
        <v>empl_027</v>
      </c>
      <c r="I201" t="str">
        <f t="shared" ca="1" si="7"/>
        <v>insert into Local_sales values ('Sale-194', 'cust-187', '14-Dec-2020', 'Prod-017', 'br-010', 'empl_022');</v>
      </c>
    </row>
    <row r="202" spans="1:9" x14ac:dyDescent="0.25">
      <c r="A202" t="s">
        <v>5098</v>
      </c>
      <c r="B202" t="str">
        <f ca="1">r_choice(Customers!$A$2:$A$301)</f>
        <v>cust-277</v>
      </c>
      <c r="C202" s="12">
        <f t="shared" ca="1" si="6"/>
        <v>44004</v>
      </c>
      <c r="D202" t="str">
        <f ca="1">r_choice(Games!$A$2:$A$41)</f>
        <v>Prod-021</v>
      </c>
      <c r="E202" t="str">
        <f ca="1">r_choice(Branches!$A$2:$A$21)</f>
        <v>br-003</v>
      </c>
      <c r="F202" t="str">
        <f ca="1">r_choice(Employees!$A$2:$A$101)</f>
        <v>empl_093</v>
      </c>
      <c r="I202" t="str">
        <f t="shared" ca="1" si="7"/>
        <v>insert into Local_sales values ('Sale-195', 'cust-251', '30-Aug-2020', 'Prod-036', 'br-011', 'empl_073');</v>
      </c>
    </row>
    <row r="203" spans="1:9" x14ac:dyDescent="0.25">
      <c r="A203" t="s">
        <v>5099</v>
      </c>
      <c r="B203" t="str">
        <f ca="1">r_choice(Customers!$A$2:$A$301)</f>
        <v>cust-288</v>
      </c>
      <c r="C203" s="12">
        <f t="shared" ca="1" si="6"/>
        <v>43912</v>
      </c>
      <c r="D203" t="str">
        <f ca="1">r_choice(Games!$A$2:$A$41)</f>
        <v>Prod-037</v>
      </c>
      <c r="E203" t="str">
        <f ca="1">r_choice(Branches!$A$2:$A$21)</f>
        <v>br-005</v>
      </c>
      <c r="F203" t="str">
        <f ca="1">r_choice(Employees!$A$2:$A$101)</f>
        <v>empl_094</v>
      </c>
      <c r="I203" t="str">
        <f t="shared" ca="1" si="7"/>
        <v>insert into Local_sales values ('Sale-196', 'cust-243', '22-Oct-2020', 'Prod-032', 'br-002', 'empl_026');</v>
      </c>
    </row>
    <row r="204" spans="1:9" x14ac:dyDescent="0.25">
      <c r="A204" t="s">
        <v>5100</v>
      </c>
      <c r="B204" t="str">
        <f ca="1">r_choice(Customers!$A$2:$A$301)</f>
        <v>cust-256</v>
      </c>
      <c r="C204" s="12">
        <f t="shared" ca="1" si="6"/>
        <v>44099</v>
      </c>
      <c r="D204" t="str">
        <f ca="1">r_choice(Games!$A$2:$A$41)</f>
        <v>Prod-027</v>
      </c>
      <c r="E204" t="str">
        <f ca="1">r_choice(Branches!$A$2:$A$21)</f>
        <v>br-009</v>
      </c>
      <c r="F204" t="str">
        <f ca="1">r_choice(Employees!$A$2:$A$101)</f>
        <v>empl_056</v>
      </c>
      <c r="I204" t="str">
        <f t="shared" ca="1" si="7"/>
        <v>insert into Local_sales values ('Sale-197', 'cust-124', '03-Oct-2020', 'Prod-025', 'br-020', 'empl_094');</v>
      </c>
    </row>
    <row r="205" spans="1:9" x14ac:dyDescent="0.25">
      <c r="A205" t="s">
        <v>5101</v>
      </c>
      <c r="B205" t="str">
        <f ca="1">r_choice(Customers!$A$2:$A$301)</f>
        <v>cust-188</v>
      </c>
      <c r="C205" s="12">
        <f t="shared" ca="1" si="6"/>
        <v>43940</v>
      </c>
      <c r="D205" t="str">
        <f ca="1">r_choice(Games!$A$2:$A$41)</f>
        <v>Prod-021</v>
      </c>
      <c r="E205" t="str">
        <f ca="1">r_choice(Branches!$A$2:$A$21)</f>
        <v>br-001</v>
      </c>
      <c r="F205" t="str">
        <f ca="1">r_choice(Employees!$A$2:$A$101)</f>
        <v>empl_096</v>
      </c>
      <c r="I205" t="str">
        <f t="shared" ca="1" si="7"/>
        <v>insert into Local_sales values ('Sale-198', 'cust-149', '14-Feb-2020', 'Prod-033', 'br-018', 'empl_039');</v>
      </c>
    </row>
    <row r="206" spans="1:9" x14ac:dyDescent="0.25">
      <c r="A206" t="s">
        <v>5102</v>
      </c>
      <c r="B206" t="str">
        <f ca="1">r_choice(Customers!$A$2:$A$301)</f>
        <v>cust-057</v>
      </c>
      <c r="C206" s="12">
        <f t="shared" ca="1" si="6"/>
        <v>44100</v>
      </c>
      <c r="D206" t="str">
        <f ca="1">r_choice(Games!$A$2:$A$41)</f>
        <v>Prod-040</v>
      </c>
      <c r="E206" t="str">
        <f ca="1">r_choice(Branches!$A$2:$A$21)</f>
        <v>br-004</v>
      </c>
      <c r="F206" t="str">
        <f ca="1">r_choice(Employees!$A$2:$A$101)</f>
        <v>empl_085</v>
      </c>
      <c r="I206" t="str">
        <f t="shared" ca="1" si="7"/>
        <v>insert into Local_sales values ('Sale-199', 'cust-250', '07-Nov-2020', 'Prod-019', 'br-009', 'empl_086');</v>
      </c>
    </row>
    <row r="207" spans="1:9" x14ac:dyDescent="0.25">
      <c r="A207" t="s">
        <v>5103</v>
      </c>
      <c r="B207" t="str">
        <f ca="1">r_choice(Customers!$A$2:$A$301)</f>
        <v>cust-198</v>
      </c>
      <c r="C207" s="12">
        <f t="shared" ca="1" si="6"/>
        <v>43907</v>
      </c>
      <c r="D207" t="str">
        <f ca="1">r_choice(Games!$A$2:$A$41)</f>
        <v>Prod-002</v>
      </c>
      <c r="E207" t="str">
        <f ca="1">r_choice(Branches!$A$2:$A$21)</f>
        <v>br-008</v>
      </c>
      <c r="F207" t="str">
        <f ca="1">r_choice(Employees!$A$2:$A$101)</f>
        <v>empl_058</v>
      </c>
      <c r="I207" t="str">
        <f t="shared" ca="1" si="7"/>
        <v>insert into Local_sales values ('Sale-200', 'cust-239', '25-May-2020', 'Prod-034', 'br-015', 'empl_027');</v>
      </c>
    </row>
    <row r="208" spans="1:9" x14ac:dyDescent="0.25">
      <c r="A208" t="s">
        <v>5104</v>
      </c>
      <c r="B208" t="str">
        <f ca="1">r_choice(Customers!$A$2:$A$301)</f>
        <v>cust-275</v>
      </c>
      <c r="C208" s="12">
        <f t="shared" ca="1" si="6"/>
        <v>43914</v>
      </c>
      <c r="D208" t="str">
        <f ca="1">r_choice(Games!$A$2:$A$41)</f>
        <v>Prod-012</v>
      </c>
      <c r="E208" t="str">
        <f ca="1">r_choice(Branches!$A$2:$A$21)</f>
        <v>br-008</v>
      </c>
      <c r="F208" t="str">
        <f ca="1">r_choice(Employees!$A$2:$A$101)</f>
        <v>empl_095</v>
      </c>
      <c r="I208" t="str">
        <f t="shared" ca="1" si="7"/>
        <v>insert into Local_sales values ('Sale-201', 'cust-277', '22-Jun-2020', 'Prod-021', 'br-003', 'empl_093');</v>
      </c>
    </row>
    <row r="209" spans="1:9" x14ac:dyDescent="0.25">
      <c r="A209" t="s">
        <v>5105</v>
      </c>
      <c r="B209" t="str">
        <f ca="1">r_choice(Customers!$A$2:$A$301)</f>
        <v>cust-022</v>
      </c>
      <c r="C209" s="12">
        <f t="shared" ca="1" si="6"/>
        <v>43846</v>
      </c>
      <c r="D209" t="str">
        <f ca="1">r_choice(Games!$A$2:$A$41)</f>
        <v>Prod-039</v>
      </c>
      <c r="E209" t="str">
        <f ca="1">r_choice(Branches!$A$2:$A$21)</f>
        <v>br-020</v>
      </c>
      <c r="F209" t="str">
        <f ca="1">r_choice(Employees!$A$2:$A$101)</f>
        <v>empl_039</v>
      </c>
      <c r="I209" t="str">
        <f t="shared" ca="1" si="7"/>
        <v>insert into Local_sales values ('Sale-202', 'cust-288', '22-Mar-2020', 'Prod-037', 'br-005', 'empl_094');</v>
      </c>
    </row>
    <row r="210" spans="1:9" x14ac:dyDescent="0.25">
      <c r="A210" t="s">
        <v>5106</v>
      </c>
      <c r="B210" t="str">
        <f ca="1">r_choice(Customers!$A$2:$A$301)</f>
        <v>cust-269</v>
      </c>
      <c r="C210" s="12">
        <f t="shared" ca="1" si="6"/>
        <v>43906</v>
      </c>
      <c r="D210" t="str">
        <f ca="1">r_choice(Games!$A$2:$A$41)</f>
        <v>Prod-026</v>
      </c>
      <c r="E210" t="str">
        <f ca="1">r_choice(Branches!$A$2:$A$21)</f>
        <v>br-018</v>
      </c>
      <c r="F210" t="str">
        <f ca="1">r_choice(Employees!$A$2:$A$101)</f>
        <v>empl_031</v>
      </c>
      <c r="I210" t="str">
        <f t="shared" ca="1" si="7"/>
        <v>insert into Local_sales values ('Sale-203', 'cust-256', '25-Sep-2020', 'Prod-027', 'br-009', 'empl_056');</v>
      </c>
    </row>
    <row r="211" spans="1:9" x14ac:dyDescent="0.25">
      <c r="A211" t="s">
        <v>5107</v>
      </c>
      <c r="B211" t="str">
        <f ca="1">r_choice(Customers!$A$2:$A$301)</f>
        <v>cust-214</v>
      </c>
      <c r="C211" s="12">
        <f t="shared" ca="1" si="6"/>
        <v>44157</v>
      </c>
      <c r="D211" t="str">
        <f ca="1">r_choice(Games!$A$2:$A$41)</f>
        <v>Prod-030</v>
      </c>
      <c r="E211" t="str">
        <f ca="1">r_choice(Branches!$A$2:$A$21)</f>
        <v>br-007</v>
      </c>
      <c r="F211" t="str">
        <f ca="1">r_choice(Employees!$A$2:$A$101)</f>
        <v>empl_069</v>
      </c>
      <c r="I211" t="str">
        <f t="shared" ca="1" si="7"/>
        <v>insert into Local_sales values ('Sale-204', 'cust-188', '19-Apr-2020', 'Prod-021', 'br-001', 'empl_096');</v>
      </c>
    </row>
    <row r="212" spans="1:9" x14ac:dyDescent="0.25">
      <c r="A212" t="s">
        <v>5108</v>
      </c>
      <c r="B212" t="str">
        <f ca="1">r_choice(Customers!$A$2:$A$301)</f>
        <v>cust-217</v>
      </c>
      <c r="C212" s="12">
        <f t="shared" ca="1" si="6"/>
        <v>44195</v>
      </c>
      <c r="D212" t="str">
        <f ca="1">r_choice(Games!$A$2:$A$41)</f>
        <v>Prod-040</v>
      </c>
      <c r="E212" t="str">
        <f ca="1">r_choice(Branches!$A$2:$A$21)</f>
        <v>br-003</v>
      </c>
      <c r="F212" t="str">
        <f ca="1">r_choice(Employees!$A$2:$A$101)</f>
        <v>empl_017</v>
      </c>
      <c r="I212" t="str">
        <f t="shared" ca="1" si="7"/>
        <v>insert into Local_sales values ('Sale-205', 'cust-057', '26-Sep-2020', 'Prod-040', 'br-004', 'empl_085');</v>
      </c>
    </row>
    <row r="213" spans="1:9" x14ac:dyDescent="0.25">
      <c r="A213" t="s">
        <v>5109</v>
      </c>
      <c r="B213" t="str">
        <f ca="1">r_choice(Customers!$A$2:$A$301)</f>
        <v>cust-056</v>
      </c>
      <c r="C213" s="12">
        <f t="shared" ca="1" si="6"/>
        <v>43940</v>
      </c>
      <c r="D213" t="str">
        <f ca="1">r_choice(Games!$A$2:$A$41)</f>
        <v>Prod-019</v>
      </c>
      <c r="E213" t="str">
        <f ca="1">r_choice(Branches!$A$2:$A$21)</f>
        <v>br-007</v>
      </c>
      <c r="F213" t="str">
        <f ca="1">r_choice(Employees!$A$2:$A$101)</f>
        <v>empl_055</v>
      </c>
      <c r="I213" t="str">
        <f t="shared" ca="1" si="7"/>
        <v>insert into Local_sales values ('Sale-206', 'cust-198', '17-Mar-2020', 'Prod-002', 'br-008', 'empl_058');</v>
      </c>
    </row>
    <row r="214" spans="1:9" x14ac:dyDescent="0.25">
      <c r="A214" t="s">
        <v>5110</v>
      </c>
      <c r="B214" t="str">
        <f ca="1">r_choice(Customers!$A$2:$A$301)</f>
        <v>cust-233</v>
      </c>
      <c r="C214" s="12">
        <f t="shared" ca="1" si="6"/>
        <v>44070</v>
      </c>
      <c r="D214" t="str">
        <f ca="1">r_choice(Games!$A$2:$A$41)</f>
        <v>Prod-013</v>
      </c>
      <c r="E214" t="str">
        <f ca="1">r_choice(Branches!$A$2:$A$21)</f>
        <v>br-016</v>
      </c>
      <c r="F214" t="str">
        <f ca="1">r_choice(Employees!$A$2:$A$101)</f>
        <v>empl_004</v>
      </c>
      <c r="I214" t="str">
        <f t="shared" ca="1" si="7"/>
        <v>insert into Local_sales values ('Sale-207', 'cust-275', '24-Mar-2020', 'Prod-012', 'br-008', 'empl_095');</v>
      </c>
    </row>
    <row r="215" spans="1:9" x14ac:dyDescent="0.25">
      <c r="A215" t="s">
        <v>5111</v>
      </c>
      <c r="B215" t="str">
        <f ca="1">r_choice(Customers!$A$2:$A$301)</f>
        <v>cust-223</v>
      </c>
      <c r="C215" s="12">
        <f t="shared" ca="1" si="6"/>
        <v>43940</v>
      </c>
      <c r="D215" t="str">
        <f ca="1">r_choice(Games!$A$2:$A$41)</f>
        <v>Prod-028</v>
      </c>
      <c r="E215" t="str">
        <f ca="1">r_choice(Branches!$A$2:$A$21)</f>
        <v>br-019</v>
      </c>
      <c r="F215" t="str">
        <f ca="1">r_choice(Employees!$A$2:$A$101)</f>
        <v>empl_072</v>
      </c>
      <c r="I215" t="str">
        <f t="shared" ca="1" si="7"/>
        <v>insert into Local_sales values ('Sale-208', 'cust-022', '16-Jan-2020', 'Prod-039', 'br-020', 'empl_039');</v>
      </c>
    </row>
    <row r="216" spans="1:9" x14ac:dyDescent="0.25">
      <c r="A216" t="s">
        <v>5112</v>
      </c>
      <c r="B216" t="str">
        <f ca="1">r_choice(Customers!$A$2:$A$301)</f>
        <v>cust-233</v>
      </c>
      <c r="C216" s="12">
        <f t="shared" ca="1" si="6"/>
        <v>43892</v>
      </c>
      <c r="D216" t="str">
        <f ca="1">r_choice(Games!$A$2:$A$41)</f>
        <v>Prod-010</v>
      </c>
      <c r="E216" t="str">
        <f ca="1">r_choice(Branches!$A$2:$A$21)</f>
        <v>br-011</v>
      </c>
      <c r="F216" t="str">
        <f ca="1">r_choice(Employees!$A$2:$A$101)</f>
        <v>empl_072</v>
      </c>
      <c r="I216" t="str">
        <f t="shared" ca="1" si="7"/>
        <v>insert into Local_sales values ('Sale-209', 'cust-269', '16-Mar-2020', 'Prod-026', 'br-018', 'empl_031');</v>
      </c>
    </row>
    <row r="217" spans="1:9" x14ac:dyDescent="0.25">
      <c r="A217" t="s">
        <v>5113</v>
      </c>
      <c r="B217" t="str">
        <f ca="1">r_choice(Customers!$A$2:$A$301)</f>
        <v>cust-115</v>
      </c>
      <c r="C217" s="12">
        <f t="shared" ca="1" si="6"/>
        <v>43921</v>
      </c>
      <c r="D217" t="str">
        <f ca="1">r_choice(Games!$A$2:$A$41)</f>
        <v>Prod-011</v>
      </c>
      <c r="E217" t="str">
        <f ca="1">r_choice(Branches!$A$2:$A$21)</f>
        <v>br-008</v>
      </c>
      <c r="F217" t="str">
        <f ca="1">r_choice(Employees!$A$2:$A$101)</f>
        <v>empl_013</v>
      </c>
      <c r="I217" t="str">
        <f t="shared" ca="1" si="7"/>
        <v>insert into Local_sales values ('Sale-210', 'cust-214', '22-Nov-2020', 'Prod-030', 'br-007', 'empl_069');</v>
      </c>
    </row>
    <row r="218" spans="1:9" x14ac:dyDescent="0.25">
      <c r="A218" t="s">
        <v>5114</v>
      </c>
      <c r="B218" t="str">
        <f ca="1">r_choice(Customers!$A$2:$A$301)</f>
        <v>cust-276</v>
      </c>
      <c r="C218" s="12">
        <f t="shared" ca="1" si="6"/>
        <v>44017</v>
      </c>
      <c r="D218" t="str">
        <f ca="1">r_choice(Games!$A$2:$A$41)</f>
        <v>Prod-032</v>
      </c>
      <c r="E218" t="str">
        <f ca="1">r_choice(Branches!$A$2:$A$21)</f>
        <v>br-005</v>
      </c>
      <c r="F218" t="str">
        <f ca="1">r_choice(Employees!$A$2:$A$101)</f>
        <v>empl_057</v>
      </c>
      <c r="I218" t="str">
        <f t="shared" ca="1" si="7"/>
        <v>insert into Local_sales values ('Sale-211', 'cust-217', '30-Dec-2020', 'Prod-040', 'br-003', 'empl_017');</v>
      </c>
    </row>
    <row r="219" spans="1:9" x14ac:dyDescent="0.25">
      <c r="A219" t="s">
        <v>5115</v>
      </c>
      <c r="B219" t="str">
        <f ca="1">r_choice(Customers!$A$2:$A$301)</f>
        <v>cust-278</v>
      </c>
      <c r="C219" s="12">
        <f t="shared" ca="1" si="6"/>
        <v>44093</v>
      </c>
      <c r="D219" t="str">
        <f ca="1">r_choice(Games!$A$2:$A$41)</f>
        <v>Prod-020</v>
      </c>
      <c r="E219" t="str">
        <f ca="1">r_choice(Branches!$A$2:$A$21)</f>
        <v>br-002</v>
      </c>
      <c r="F219" t="str">
        <f ca="1">r_choice(Employees!$A$2:$A$101)</f>
        <v>empl_094</v>
      </c>
      <c r="I219" t="str">
        <f t="shared" ca="1" si="7"/>
        <v>insert into Local_sales values ('Sale-212', 'cust-056', '19-Apr-2020', 'Prod-019', 'br-007', 'empl_055');</v>
      </c>
    </row>
    <row r="220" spans="1:9" x14ac:dyDescent="0.25">
      <c r="A220" t="s">
        <v>5116</v>
      </c>
      <c r="B220" t="str">
        <f ca="1">r_choice(Customers!$A$2:$A$301)</f>
        <v>cust-136</v>
      </c>
      <c r="C220" s="12">
        <f t="shared" ca="1" si="6"/>
        <v>43942</v>
      </c>
      <c r="D220" t="str">
        <f ca="1">r_choice(Games!$A$2:$A$41)</f>
        <v>Prod-034</v>
      </c>
      <c r="E220" t="str">
        <f ca="1">r_choice(Branches!$A$2:$A$21)</f>
        <v>br-016</v>
      </c>
      <c r="F220" t="str">
        <f ca="1">r_choice(Employees!$A$2:$A$101)</f>
        <v>empl_014</v>
      </c>
      <c r="I220" t="str">
        <f t="shared" ca="1" si="7"/>
        <v>insert into Local_sales values ('Sale-213', 'cust-233', '27-Aug-2020', 'Prod-013', 'br-016', 'empl_004');</v>
      </c>
    </row>
    <row r="221" spans="1:9" x14ac:dyDescent="0.25">
      <c r="A221" t="s">
        <v>5117</v>
      </c>
      <c r="B221" t="str">
        <f ca="1">r_choice(Customers!$A$2:$A$301)</f>
        <v>cust-261</v>
      </c>
      <c r="C221" s="12">
        <f t="shared" ca="1" si="6"/>
        <v>43906</v>
      </c>
      <c r="D221" t="str">
        <f ca="1">r_choice(Games!$A$2:$A$41)</f>
        <v>Prod-027</v>
      </c>
      <c r="E221" t="str">
        <f ca="1">r_choice(Branches!$A$2:$A$21)</f>
        <v>br-007</v>
      </c>
      <c r="F221" t="str">
        <f ca="1">r_choice(Employees!$A$2:$A$101)</f>
        <v>empl_062</v>
      </c>
      <c r="I221" t="str">
        <f t="shared" ca="1" si="7"/>
        <v>insert into Local_sales values ('Sale-214', 'cust-223', '19-Apr-2020', 'Prod-028', 'br-019', 'empl_072');</v>
      </c>
    </row>
    <row r="222" spans="1:9" x14ac:dyDescent="0.25">
      <c r="A222" t="s">
        <v>5118</v>
      </c>
      <c r="B222" t="str">
        <f ca="1">r_choice(Customers!$A$2:$A$301)</f>
        <v>cust-184</v>
      </c>
      <c r="C222" s="12">
        <f t="shared" ca="1" si="6"/>
        <v>44019</v>
      </c>
      <c r="D222" t="str">
        <f ca="1">r_choice(Games!$A$2:$A$41)</f>
        <v>Prod-002</v>
      </c>
      <c r="E222" t="str">
        <f ca="1">r_choice(Branches!$A$2:$A$21)</f>
        <v>br-003</v>
      </c>
      <c r="F222" t="str">
        <f ca="1">r_choice(Employees!$A$2:$A$101)</f>
        <v>empl_030</v>
      </c>
      <c r="I222" t="str">
        <f t="shared" ca="1" si="7"/>
        <v>insert into Local_sales values ('Sale-215', 'cust-233', '02-Mar-2020', 'Prod-010', 'br-011', 'empl_072');</v>
      </c>
    </row>
    <row r="223" spans="1:9" x14ac:dyDescent="0.25">
      <c r="A223" t="s">
        <v>5119</v>
      </c>
      <c r="B223" t="str">
        <f ca="1">r_choice(Customers!$A$2:$A$301)</f>
        <v>cust-078</v>
      </c>
      <c r="C223" s="12">
        <f t="shared" ca="1" si="6"/>
        <v>44193</v>
      </c>
      <c r="D223" t="str">
        <f ca="1">r_choice(Games!$A$2:$A$41)</f>
        <v>Prod-039</v>
      </c>
      <c r="E223" t="str">
        <f ca="1">r_choice(Branches!$A$2:$A$21)</f>
        <v>br-005</v>
      </c>
      <c r="F223" t="str">
        <f ca="1">r_choice(Employees!$A$2:$A$101)</f>
        <v>empl_003</v>
      </c>
      <c r="I223" t="str">
        <f t="shared" ca="1" si="7"/>
        <v>insert into Local_sales values ('Sale-216', 'cust-115', '31-Mar-2020', 'Prod-011', 'br-008', 'empl_013');</v>
      </c>
    </row>
    <row r="224" spans="1:9" x14ac:dyDescent="0.25">
      <c r="A224" t="s">
        <v>5120</v>
      </c>
      <c r="B224" t="str">
        <f ca="1">r_choice(Customers!$A$2:$A$301)</f>
        <v>cust-076</v>
      </c>
      <c r="C224" s="12">
        <f t="shared" ca="1" si="6"/>
        <v>43947</v>
      </c>
      <c r="D224" t="str">
        <f ca="1">r_choice(Games!$A$2:$A$41)</f>
        <v>Prod-026</v>
      </c>
      <c r="E224" t="str">
        <f ca="1">r_choice(Branches!$A$2:$A$21)</f>
        <v>br-010</v>
      </c>
      <c r="F224" t="str">
        <f ca="1">r_choice(Employees!$A$2:$A$101)</f>
        <v>empl_031</v>
      </c>
      <c r="I224" t="str">
        <f t="shared" ca="1" si="7"/>
        <v>insert into Local_sales values ('Sale-217', 'cust-276', '05-Jul-2020', 'Prod-032', 'br-005', 'empl_057');</v>
      </c>
    </row>
    <row r="225" spans="1:9" x14ac:dyDescent="0.25">
      <c r="A225" t="s">
        <v>5121</v>
      </c>
      <c r="B225" t="str">
        <f ca="1">r_choice(Customers!$A$2:$A$301)</f>
        <v>cust-123</v>
      </c>
      <c r="C225" s="12">
        <f t="shared" ca="1" si="6"/>
        <v>44144</v>
      </c>
      <c r="D225" t="str">
        <f ca="1">r_choice(Games!$A$2:$A$41)</f>
        <v>Prod-009</v>
      </c>
      <c r="E225" t="str">
        <f ca="1">r_choice(Branches!$A$2:$A$21)</f>
        <v>br-007</v>
      </c>
      <c r="F225" t="str">
        <f ca="1">r_choice(Employees!$A$2:$A$101)</f>
        <v>empl_039</v>
      </c>
      <c r="I225" t="str">
        <f t="shared" ca="1" si="7"/>
        <v>insert into Local_sales values ('Sale-218', 'cust-278', '19-Sep-2020', 'Prod-020', 'br-002', 'empl_094');</v>
      </c>
    </row>
    <row r="226" spans="1:9" x14ac:dyDescent="0.25">
      <c r="A226" t="s">
        <v>5122</v>
      </c>
      <c r="B226" t="str">
        <f ca="1">r_choice(Customers!$A$2:$A$301)</f>
        <v>cust-169</v>
      </c>
      <c r="C226" s="12">
        <f t="shared" ca="1" si="6"/>
        <v>43838</v>
      </c>
      <c r="D226" t="str">
        <f ca="1">r_choice(Games!$A$2:$A$41)</f>
        <v>Prod-007</v>
      </c>
      <c r="E226" t="str">
        <f ca="1">r_choice(Branches!$A$2:$A$21)</f>
        <v>br-017</v>
      </c>
      <c r="F226" t="str">
        <f ca="1">r_choice(Employees!$A$2:$A$101)</f>
        <v>empl_009</v>
      </c>
      <c r="I226" t="str">
        <f t="shared" ca="1" si="7"/>
        <v>insert into Local_sales values ('Sale-219', 'cust-136', '21-Apr-2020', 'Prod-034', 'br-016', 'empl_014');</v>
      </c>
    </row>
    <row r="227" spans="1:9" x14ac:dyDescent="0.25">
      <c r="A227" t="s">
        <v>5123</v>
      </c>
      <c r="B227" t="str">
        <f ca="1">r_choice(Customers!$A$2:$A$301)</f>
        <v>cust-102</v>
      </c>
      <c r="C227" s="12">
        <f t="shared" ca="1" si="6"/>
        <v>43853</v>
      </c>
      <c r="D227" t="str">
        <f ca="1">r_choice(Games!$A$2:$A$41)</f>
        <v>Prod-034</v>
      </c>
      <c r="E227" t="str">
        <f ca="1">r_choice(Branches!$A$2:$A$21)</f>
        <v>br-013</v>
      </c>
      <c r="F227" t="str">
        <f ca="1">r_choice(Employees!$A$2:$A$101)</f>
        <v>empl_089</v>
      </c>
      <c r="I227" t="str">
        <f t="shared" ca="1" si="7"/>
        <v>insert into Local_sales values ('Sale-220', 'cust-261', '16-Mar-2020', 'Prod-027', 'br-007', 'empl_062');</v>
      </c>
    </row>
    <row r="228" spans="1:9" x14ac:dyDescent="0.25">
      <c r="A228" t="s">
        <v>5124</v>
      </c>
      <c r="B228" t="str">
        <f ca="1">r_choice(Customers!$A$2:$A$301)</f>
        <v>cust-178</v>
      </c>
      <c r="C228" s="12">
        <f t="shared" ca="1" si="6"/>
        <v>43863</v>
      </c>
      <c r="D228" t="str">
        <f ca="1">r_choice(Games!$A$2:$A$41)</f>
        <v>Prod-020</v>
      </c>
      <c r="E228" t="str">
        <f ca="1">r_choice(Branches!$A$2:$A$21)</f>
        <v>br-015</v>
      </c>
      <c r="F228" t="str">
        <f ca="1">r_choice(Employees!$A$2:$A$101)</f>
        <v>empl_005</v>
      </c>
      <c r="I228" t="str">
        <f t="shared" ca="1" si="7"/>
        <v>insert into Local_sales values ('Sale-221', 'cust-184', '07-Jul-2020', 'Prod-002', 'br-003', 'empl_030');</v>
      </c>
    </row>
    <row r="229" spans="1:9" x14ac:dyDescent="0.25">
      <c r="A229" t="s">
        <v>5125</v>
      </c>
      <c r="B229" t="str">
        <f ca="1">r_choice(Customers!$A$2:$A$301)</f>
        <v>cust-045</v>
      </c>
      <c r="C229" s="12">
        <f t="shared" ca="1" si="6"/>
        <v>43999</v>
      </c>
      <c r="D229" t="str">
        <f ca="1">r_choice(Games!$A$2:$A$41)</f>
        <v>Prod-040</v>
      </c>
      <c r="E229" t="str">
        <f ca="1">r_choice(Branches!$A$2:$A$21)</f>
        <v>br-018</v>
      </c>
      <c r="F229" t="str">
        <f ca="1">r_choice(Employees!$A$2:$A$101)</f>
        <v>empl_086</v>
      </c>
      <c r="I229" t="str">
        <f t="shared" ca="1" si="7"/>
        <v>insert into Local_sales values ('Sale-222', 'cust-078', '28-Dec-2020', 'Prod-039', 'br-005', 'empl_003');</v>
      </c>
    </row>
    <row r="230" spans="1:9" x14ac:dyDescent="0.25">
      <c r="A230" t="s">
        <v>5126</v>
      </c>
      <c r="B230" t="str">
        <f ca="1">r_choice(Customers!$A$2:$A$301)</f>
        <v>cust-037</v>
      </c>
      <c r="C230" s="12">
        <f t="shared" ca="1" si="6"/>
        <v>43893</v>
      </c>
      <c r="D230" t="str">
        <f ca="1">r_choice(Games!$A$2:$A$41)</f>
        <v>Prod-003</v>
      </c>
      <c r="E230" t="str">
        <f ca="1">r_choice(Branches!$A$2:$A$21)</f>
        <v>br-012</v>
      </c>
      <c r="F230" t="str">
        <f ca="1">r_choice(Employees!$A$2:$A$101)</f>
        <v>empl_009</v>
      </c>
      <c r="I230" t="str">
        <f t="shared" ca="1" si="7"/>
        <v>insert into Local_sales values ('Sale-223', 'cust-076', '26-Apr-2020', 'Prod-026', 'br-010', 'empl_031');</v>
      </c>
    </row>
    <row r="231" spans="1:9" x14ac:dyDescent="0.25">
      <c r="A231" t="s">
        <v>5127</v>
      </c>
      <c r="B231" t="str">
        <f ca="1">r_choice(Customers!$A$2:$A$301)</f>
        <v>cust-241</v>
      </c>
      <c r="C231" s="12">
        <f t="shared" ca="1" si="6"/>
        <v>43865</v>
      </c>
      <c r="D231" t="str">
        <f ca="1">r_choice(Games!$A$2:$A$41)</f>
        <v>Prod-001</v>
      </c>
      <c r="E231" t="str">
        <f ca="1">r_choice(Branches!$A$2:$A$21)</f>
        <v>br-017</v>
      </c>
      <c r="F231" t="str">
        <f ca="1">r_choice(Employees!$A$2:$A$101)</f>
        <v>empl_077</v>
      </c>
      <c r="I231" t="str">
        <f t="shared" ca="1" si="7"/>
        <v>insert into Local_sales values ('Sale-224', 'cust-123', '09-Nov-2020', 'Prod-009', 'br-007', 'empl_039');</v>
      </c>
    </row>
    <row r="232" spans="1:9" x14ac:dyDescent="0.25">
      <c r="A232" t="s">
        <v>5128</v>
      </c>
      <c r="B232" t="str">
        <f ca="1">r_choice(Customers!$A$2:$A$301)</f>
        <v>cust-182</v>
      </c>
      <c r="C232" s="12">
        <f t="shared" ca="1" si="6"/>
        <v>44064</v>
      </c>
      <c r="D232" t="str">
        <f ca="1">r_choice(Games!$A$2:$A$41)</f>
        <v>Prod-031</v>
      </c>
      <c r="E232" t="str">
        <f ca="1">r_choice(Branches!$A$2:$A$21)</f>
        <v>br-013</v>
      </c>
      <c r="F232" t="str">
        <f ca="1">r_choice(Employees!$A$2:$A$101)</f>
        <v>empl_030</v>
      </c>
      <c r="I232" t="str">
        <f t="shared" ca="1" si="7"/>
        <v>insert into Local_sales values ('Sale-225', 'cust-169', '08-Jan-2020', 'Prod-007', 'br-017', 'empl_009');</v>
      </c>
    </row>
    <row r="233" spans="1:9" x14ac:dyDescent="0.25">
      <c r="A233" t="s">
        <v>5129</v>
      </c>
      <c r="B233" t="str">
        <f ca="1">r_choice(Customers!$A$2:$A$301)</f>
        <v>cust-108</v>
      </c>
      <c r="C233" s="12">
        <f t="shared" ca="1" si="6"/>
        <v>44063</v>
      </c>
      <c r="D233" t="str">
        <f ca="1">r_choice(Games!$A$2:$A$41)</f>
        <v>Prod-024</v>
      </c>
      <c r="E233" t="str">
        <f ca="1">r_choice(Branches!$A$2:$A$21)</f>
        <v>br-013</v>
      </c>
      <c r="F233" t="str">
        <f ca="1">r_choice(Employees!$A$2:$A$101)</f>
        <v>empl_063</v>
      </c>
      <c r="I233" t="str">
        <f t="shared" ca="1" si="7"/>
        <v>insert into Local_sales values ('Sale-226', 'cust-102', '23-Jan-2020', 'Prod-034', 'br-013', 'empl_089');</v>
      </c>
    </row>
    <row r="234" spans="1:9" x14ac:dyDescent="0.25">
      <c r="A234" t="s">
        <v>5130</v>
      </c>
      <c r="B234" t="str">
        <f ca="1">r_choice(Customers!$A$2:$A$301)</f>
        <v>cust-178</v>
      </c>
      <c r="C234" s="12">
        <f t="shared" ca="1" si="6"/>
        <v>44037</v>
      </c>
      <c r="D234" t="str">
        <f ca="1">r_choice(Games!$A$2:$A$41)</f>
        <v>Prod-005</v>
      </c>
      <c r="E234" t="str">
        <f ca="1">r_choice(Branches!$A$2:$A$21)</f>
        <v>br-018</v>
      </c>
      <c r="F234" t="str">
        <f ca="1">r_choice(Employees!$A$2:$A$101)</f>
        <v>empl_052</v>
      </c>
      <c r="I234" t="str">
        <f t="shared" ca="1" si="7"/>
        <v>insert into Local_sales values ('Sale-227', 'cust-178', '02-Feb-2020', 'Prod-020', 'br-015', 'empl_005');</v>
      </c>
    </row>
    <row r="235" spans="1:9" x14ac:dyDescent="0.25">
      <c r="A235" t="s">
        <v>5131</v>
      </c>
      <c r="B235" t="str">
        <f ca="1">r_choice(Customers!$A$2:$A$301)</f>
        <v>cust-220</v>
      </c>
      <c r="C235" s="12">
        <f t="shared" ca="1" si="6"/>
        <v>43948</v>
      </c>
      <c r="D235" t="str">
        <f ca="1">r_choice(Games!$A$2:$A$41)</f>
        <v>Prod-027</v>
      </c>
      <c r="E235" t="str">
        <f ca="1">r_choice(Branches!$A$2:$A$21)</f>
        <v>br-019</v>
      </c>
      <c r="F235" t="str">
        <f ca="1">r_choice(Employees!$A$2:$A$101)</f>
        <v>empl_090</v>
      </c>
      <c r="I235" t="str">
        <f t="shared" ca="1" si="7"/>
        <v>insert into Local_sales values ('Sale-228', 'cust-045', '17-Jun-2020', 'Prod-040', 'br-018', 'empl_086');</v>
      </c>
    </row>
    <row r="236" spans="1:9" x14ac:dyDescent="0.25">
      <c r="A236" t="s">
        <v>5132</v>
      </c>
      <c r="B236" t="str">
        <f ca="1">r_choice(Customers!$A$2:$A$301)</f>
        <v>cust-040</v>
      </c>
      <c r="C236" s="12">
        <f t="shared" ca="1" si="6"/>
        <v>43975</v>
      </c>
      <c r="D236" t="str">
        <f ca="1">r_choice(Games!$A$2:$A$41)</f>
        <v>Prod-002</v>
      </c>
      <c r="E236" t="str">
        <f ca="1">r_choice(Branches!$A$2:$A$21)</f>
        <v>br-004</v>
      </c>
      <c r="F236" t="str">
        <f ca="1">r_choice(Employees!$A$2:$A$101)</f>
        <v>empl_092</v>
      </c>
      <c r="I236" t="str">
        <f t="shared" ca="1" si="7"/>
        <v>insert into Local_sales values ('Sale-229', 'cust-037', '03-Mar-2020', 'Prod-003', 'br-012', 'empl_009');</v>
      </c>
    </row>
    <row r="237" spans="1:9" x14ac:dyDescent="0.25">
      <c r="A237" t="s">
        <v>5133</v>
      </c>
      <c r="B237" t="str">
        <f ca="1">r_choice(Customers!$A$2:$A$301)</f>
        <v>cust-069</v>
      </c>
      <c r="C237" s="12">
        <f t="shared" ca="1" si="6"/>
        <v>43915</v>
      </c>
      <c r="D237" t="str">
        <f ca="1">r_choice(Games!$A$2:$A$41)</f>
        <v>Prod-028</v>
      </c>
      <c r="E237" t="str">
        <f ca="1">r_choice(Branches!$A$2:$A$21)</f>
        <v>br-015</v>
      </c>
      <c r="F237" t="str">
        <f ca="1">r_choice(Employees!$A$2:$A$101)</f>
        <v>empl_068</v>
      </c>
      <c r="I237" t="str">
        <f t="shared" ca="1" si="7"/>
        <v>insert into Local_sales values ('Sale-230', 'cust-241', '04-Feb-2020', 'Prod-001', 'br-017', 'empl_077');</v>
      </c>
    </row>
    <row r="238" spans="1:9" x14ac:dyDescent="0.25">
      <c r="A238" t="s">
        <v>5134</v>
      </c>
      <c r="B238" t="str">
        <f ca="1">r_choice(Customers!$A$2:$A$301)</f>
        <v>cust-250</v>
      </c>
      <c r="C238" s="12">
        <f t="shared" ca="1" si="6"/>
        <v>43937</v>
      </c>
      <c r="D238" t="str">
        <f ca="1">r_choice(Games!$A$2:$A$41)</f>
        <v>Prod-013</v>
      </c>
      <c r="E238" t="str">
        <f ca="1">r_choice(Branches!$A$2:$A$21)</f>
        <v>br-015</v>
      </c>
      <c r="F238" t="str">
        <f ca="1">r_choice(Employees!$A$2:$A$101)</f>
        <v>empl_012</v>
      </c>
      <c r="I238" t="str">
        <f t="shared" ca="1" si="7"/>
        <v>insert into Local_sales values ('Sale-231', 'cust-182', '21-Aug-2020', 'Prod-031', 'br-013', 'empl_030');</v>
      </c>
    </row>
    <row r="239" spans="1:9" x14ac:dyDescent="0.25">
      <c r="A239" t="s">
        <v>5135</v>
      </c>
      <c r="B239" t="str">
        <f ca="1">r_choice(Customers!$A$2:$A$301)</f>
        <v>cust-082</v>
      </c>
      <c r="C239" s="12">
        <f t="shared" ca="1" si="6"/>
        <v>44005</v>
      </c>
      <c r="D239" t="str">
        <f ca="1">r_choice(Games!$A$2:$A$41)</f>
        <v>Prod-028</v>
      </c>
      <c r="E239" t="str">
        <f ca="1">r_choice(Branches!$A$2:$A$21)</f>
        <v>br-008</v>
      </c>
      <c r="F239" t="str">
        <f ca="1">r_choice(Employees!$A$2:$A$101)</f>
        <v>empl_017</v>
      </c>
      <c r="I239" t="str">
        <f t="shared" ca="1" si="7"/>
        <v>insert into Local_sales values ('Sale-232', 'cust-108', '20-Aug-2020', 'Prod-024', 'br-013', 'empl_063');</v>
      </c>
    </row>
    <row r="240" spans="1:9" x14ac:dyDescent="0.25">
      <c r="A240" t="s">
        <v>5136</v>
      </c>
      <c r="B240" t="str">
        <f ca="1">r_choice(Customers!$A$2:$A$301)</f>
        <v>cust-226</v>
      </c>
      <c r="C240" s="12">
        <f t="shared" ca="1" si="6"/>
        <v>43895</v>
      </c>
      <c r="D240" t="str">
        <f ca="1">r_choice(Games!$A$2:$A$41)</f>
        <v>Prod-034</v>
      </c>
      <c r="E240" t="str">
        <f ca="1">r_choice(Branches!$A$2:$A$21)</f>
        <v>br-017</v>
      </c>
      <c r="F240" t="str">
        <f ca="1">r_choice(Employees!$A$2:$A$101)</f>
        <v>empl_029</v>
      </c>
      <c r="I240" t="str">
        <f t="shared" ca="1" si="7"/>
        <v>insert into Local_sales values ('Sale-233', 'cust-178', '25-Jul-2020', 'Prod-005', 'br-018', 'empl_052');</v>
      </c>
    </row>
    <row r="241" spans="1:9" x14ac:dyDescent="0.25">
      <c r="A241" t="s">
        <v>5137</v>
      </c>
      <c r="B241" t="str">
        <f ca="1">r_choice(Customers!$A$2:$A$301)</f>
        <v>cust-192</v>
      </c>
      <c r="C241" s="12">
        <f t="shared" ca="1" si="6"/>
        <v>44129</v>
      </c>
      <c r="D241" t="str">
        <f ca="1">r_choice(Games!$A$2:$A$41)</f>
        <v>Prod-003</v>
      </c>
      <c r="E241" t="str">
        <f ca="1">r_choice(Branches!$A$2:$A$21)</f>
        <v>br-001</v>
      </c>
      <c r="F241" t="str">
        <f ca="1">r_choice(Employees!$A$2:$A$101)</f>
        <v>empl_060</v>
      </c>
      <c r="I241" t="str">
        <f t="shared" ca="1" si="7"/>
        <v>insert into Local_sales values ('Sale-234', 'cust-220', '27-Apr-2020', 'Prod-027', 'br-019', 'empl_090');</v>
      </c>
    </row>
    <row r="242" spans="1:9" x14ac:dyDescent="0.25">
      <c r="A242" t="s">
        <v>5138</v>
      </c>
      <c r="B242" t="str">
        <f ca="1">r_choice(Customers!$A$2:$A$301)</f>
        <v>cust-255</v>
      </c>
      <c r="C242" s="12">
        <f t="shared" ca="1" si="6"/>
        <v>43931</v>
      </c>
      <c r="D242" t="str">
        <f ca="1">r_choice(Games!$A$2:$A$41)</f>
        <v>Prod-037</v>
      </c>
      <c r="E242" t="str">
        <f ca="1">r_choice(Branches!$A$2:$A$21)</f>
        <v>br-015</v>
      </c>
      <c r="F242" t="str">
        <f ca="1">r_choice(Employees!$A$2:$A$101)</f>
        <v>empl_022</v>
      </c>
      <c r="I242" t="str">
        <f t="shared" ca="1" si="7"/>
        <v>insert into Local_sales values ('Sale-235', 'cust-040', '24-May-2020', 'Prod-002', 'br-004', 'empl_092');</v>
      </c>
    </row>
    <row r="243" spans="1:9" x14ac:dyDescent="0.25">
      <c r="A243" t="s">
        <v>5139</v>
      </c>
      <c r="B243" t="str">
        <f ca="1">r_choice(Customers!$A$2:$A$301)</f>
        <v>cust-167</v>
      </c>
      <c r="C243" s="12">
        <f t="shared" ca="1" si="6"/>
        <v>43857</v>
      </c>
      <c r="D243" t="str">
        <f ca="1">r_choice(Games!$A$2:$A$41)</f>
        <v>Prod-031</v>
      </c>
      <c r="E243" t="str">
        <f ca="1">r_choice(Branches!$A$2:$A$21)</f>
        <v>br-004</v>
      </c>
      <c r="F243" t="str">
        <f ca="1">r_choice(Employees!$A$2:$A$101)</f>
        <v>empl_008</v>
      </c>
      <c r="I243" t="str">
        <f t="shared" ca="1" si="7"/>
        <v>insert into Local_sales values ('Sale-236', 'cust-069', '25-Mar-2020', 'Prod-028', 'br-015', 'empl_068');</v>
      </c>
    </row>
    <row r="244" spans="1:9" x14ac:dyDescent="0.25">
      <c r="A244" t="s">
        <v>5140</v>
      </c>
      <c r="B244" t="str">
        <f ca="1">r_choice(Customers!$A$2:$A$301)</f>
        <v>cust-179</v>
      </c>
      <c r="C244" s="12">
        <f t="shared" ca="1" si="6"/>
        <v>43960</v>
      </c>
      <c r="D244" t="str">
        <f ca="1">r_choice(Games!$A$2:$A$41)</f>
        <v>Prod-005</v>
      </c>
      <c r="E244" t="str">
        <f ca="1">r_choice(Branches!$A$2:$A$21)</f>
        <v>br-016</v>
      </c>
      <c r="F244" t="str">
        <f ca="1">r_choice(Employees!$A$2:$A$101)</f>
        <v>empl_059</v>
      </c>
      <c r="I244" t="str">
        <f t="shared" ca="1" si="7"/>
        <v>insert into Local_sales values ('Sale-237', 'cust-250', '16-Apr-2020', 'Prod-013', 'br-015', 'empl_012');</v>
      </c>
    </row>
    <row r="245" spans="1:9" x14ac:dyDescent="0.25">
      <c r="A245" t="s">
        <v>5141</v>
      </c>
      <c r="B245" t="str">
        <f ca="1">r_choice(Customers!$A$2:$A$301)</f>
        <v>cust-227</v>
      </c>
      <c r="C245" s="12">
        <f t="shared" ca="1" si="6"/>
        <v>43965</v>
      </c>
      <c r="D245" t="str">
        <f ca="1">r_choice(Games!$A$2:$A$41)</f>
        <v>Prod-015</v>
      </c>
      <c r="E245" t="str">
        <f ca="1">r_choice(Branches!$A$2:$A$21)</f>
        <v>br-006</v>
      </c>
      <c r="F245" t="str">
        <f ca="1">r_choice(Employees!$A$2:$A$101)</f>
        <v>empl_092</v>
      </c>
      <c r="I245" t="str">
        <f t="shared" ca="1" si="7"/>
        <v>insert into Local_sales values ('Sale-238', 'cust-082', '23-Jun-2020', 'Prod-028', 'br-008', 'empl_017');</v>
      </c>
    </row>
    <row r="246" spans="1:9" x14ac:dyDescent="0.25">
      <c r="A246" t="s">
        <v>5142</v>
      </c>
      <c r="B246" t="str">
        <f ca="1">r_choice(Customers!$A$2:$A$301)</f>
        <v>cust-140</v>
      </c>
      <c r="C246" s="12">
        <f t="shared" ca="1" si="6"/>
        <v>43935</v>
      </c>
      <c r="D246" t="str">
        <f ca="1">r_choice(Games!$A$2:$A$41)</f>
        <v>Prod-029</v>
      </c>
      <c r="E246" t="str">
        <f ca="1">r_choice(Branches!$A$2:$A$21)</f>
        <v>br-014</v>
      </c>
      <c r="F246" t="str">
        <f ca="1">r_choice(Employees!$A$2:$A$101)</f>
        <v>empl_062</v>
      </c>
      <c r="I246" t="str">
        <f t="shared" ca="1" si="7"/>
        <v>insert into Local_sales values ('Sale-239', 'cust-226', '05-Mar-2020', 'Prod-034', 'br-017', 'empl_029');</v>
      </c>
    </row>
    <row r="247" spans="1:9" x14ac:dyDescent="0.25">
      <c r="A247" t="s">
        <v>5143</v>
      </c>
      <c r="B247" t="str">
        <f ca="1">r_choice(Customers!$A$2:$A$301)</f>
        <v>cust-251</v>
      </c>
      <c r="C247" s="12">
        <f t="shared" ca="1" si="6"/>
        <v>43838</v>
      </c>
      <c r="D247" t="str">
        <f ca="1">r_choice(Games!$A$2:$A$41)</f>
        <v>Prod-034</v>
      </c>
      <c r="E247" t="str">
        <f ca="1">r_choice(Branches!$A$2:$A$21)</f>
        <v>br-012</v>
      </c>
      <c r="F247" t="str">
        <f ca="1">r_choice(Employees!$A$2:$A$101)</f>
        <v>empl_001</v>
      </c>
      <c r="I247" t="str">
        <f t="shared" ca="1" si="7"/>
        <v>insert into Local_sales values ('Sale-240', 'cust-192', '25-Oct-2020', 'Prod-003', 'br-001', 'empl_060');</v>
      </c>
    </row>
    <row r="248" spans="1:9" x14ac:dyDescent="0.25">
      <c r="A248" t="s">
        <v>5144</v>
      </c>
      <c r="B248" t="str">
        <f ca="1">r_choice(Customers!$A$2:$A$301)</f>
        <v>cust-161</v>
      </c>
      <c r="C248" s="12">
        <f t="shared" ca="1" si="6"/>
        <v>43874</v>
      </c>
      <c r="D248" t="str">
        <f ca="1">r_choice(Games!$A$2:$A$41)</f>
        <v>Prod-005</v>
      </c>
      <c r="E248" t="str">
        <f ca="1">r_choice(Branches!$A$2:$A$21)</f>
        <v>br-017</v>
      </c>
      <c r="F248" t="str">
        <f ca="1">r_choice(Employees!$A$2:$A$101)</f>
        <v>empl_007</v>
      </c>
      <c r="I248" t="str">
        <f t="shared" ca="1" si="7"/>
        <v>insert into Local_sales values ('Sale-241', 'cust-255', '10-Apr-2020', 'Prod-037', 'br-015', 'empl_022');</v>
      </c>
    </row>
    <row r="249" spans="1:9" x14ac:dyDescent="0.25">
      <c r="A249" t="s">
        <v>5145</v>
      </c>
      <c r="B249" t="str">
        <f ca="1">r_choice(Customers!$A$2:$A$301)</f>
        <v>cust-273</v>
      </c>
      <c r="C249" s="12">
        <f t="shared" ca="1" si="6"/>
        <v>43884</v>
      </c>
      <c r="D249" t="str">
        <f ca="1">r_choice(Games!$A$2:$A$41)</f>
        <v>Prod-038</v>
      </c>
      <c r="E249" t="str">
        <f ca="1">r_choice(Branches!$A$2:$A$21)</f>
        <v>br-011</v>
      </c>
      <c r="F249" t="str">
        <f ca="1">r_choice(Employees!$A$2:$A$101)</f>
        <v>empl_005</v>
      </c>
      <c r="I249" t="str">
        <f t="shared" ca="1" si="7"/>
        <v>insert into Local_sales values ('Sale-242', 'cust-167', '27-Jan-2020', 'Prod-031', 'br-004', 'empl_008');</v>
      </c>
    </row>
    <row r="250" spans="1:9" x14ac:dyDescent="0.25">
      <c r="A250" t="s">
        <v>5146</v>
      </c>
      <c r="B250" t="str">
        <f ca="1">r_choice(Customers!$A$2:$A$301)</f>
        <v>cust-066</v>
      </c>
      <c r="C250" s="12">
        <f t="shared" ca="1" si="6"/>
        <v>44019</v>
      </c>
      <c r="D250" t="str">
        <f ca="1">r_choice(Games!$A$2:$A$41)</f>
        <v>Prod-039</v>
      </c>
      <c r="E250" t="str">
        <f ca="1">r_choice(Branches!$A$2:$A$21)</f>
        <v>br-003</v>
      </c>
      <c r="F250" t="str">
        <f ca="1">r_choice(Employees!$A$2:$A$101)</f>
        <v>empl_086</v>
      </c>
      <c r="I250" t="str">
        <f t="shared" ca="1" si="7"/>
        <v>insert into Local_sales values ('Sale-243', 'cust-179', '09-May-2020', 'Prod-005', 'br-016', 'empl_059');</v>
      </c>
    </row>
    <row r="251" spans="1:9" x14ac:dyDescent="0.25">
      <c r="A251" t="s">
        <v>5147</v>
      </c>
      <c r="B251" t="str">
        <f ca="1">r_choice(Customers!$A$2:$A$301)</f>
        <v>cust-247</v>
      </c>
      <c r="C251" s="12">
        <f t="shared" ca="1" si="6"/>
        <v>43877</v>
      </c>
      <c r="D251" t="str">
        <f ca="1">r_choice(Games!$A$2:$A$41)</f>
        <v>Prod-007</v>
      </c>
      <c r="E251" t="str">
        <f ca="1">r_choice(Branches!$A$2:$A$21)</f>
        <v>br-005</v>
      </c>
      <c r="F251" t="str">
        <f ca="1">r_choice(Employees!$A$2:$A$101)</f>
        <v>empl_006</v>
      </c>
      <c r="I251" t="str">
        <f t="shared" ca="1" si="7"/>
        <v>insert into Local_sales values ('Sale-244', 'cust-227', '14-May-2020', 'Prod-015', 'br-006', 'empl_092');</v>
      </c>
    </row>
    <row r="252" spans="1:9" x14ac:dyDescent="0.25">
      <c r="A252" t="s">
        <v>5148</v>
      </c>
      <c r="B252" t="str">
        <f ca="1">r_choice(Customers!$A$2:$A$301)</f>
        <v>cust-185</v>
      </c>
      <c r="C252" s="12">
        <f t="shared" ca="1" si="6"/>
        <v>44163</v>
      </c>
      <c r="D252" t="str">
        <f ca="1">r_choice(Games!$A$2:$A$41)</f>
        <v>Prod-039</v>
      </c>
      <c r="E252" t="str">
        <f ca="1">r_choice(Branches!$A$2:$A$21)</f>
        <v>br-011</v>
      </c>
      <c r="F252" t="str">
        <f ca="1">r_choice(Employees!$A$2:$A$101)</f>
        <v>empl_024</v>
      </c>
      <c r="I252" t="str">
        <f t="shared" ca="1" si="7"/>
        <v>insert into Local_sales values ('Sale-245', 'cust-140', '14-Apr-2020', 'Prod-029', 'br-014', 'empl_062');</v>
      </c>
    </row>
    <row r="253" spans="1:9" x14ac:dyDescent="0.25">
      <c r="A253" t="s">
        <v>5149</v>
      </c>
      <c r="B253" t="str">
        <f ca="1">r_choice(Customers!$A$2:$A$301)</f>
        <v>cust-279</v>
      </c>
      <c r="C253" s="12">
        <f t="shared" ca="1" si="6"/>
        <v>43991</v>
      </c>
      <c r="D253" t="str">
        <f ca="1">r_choice(Games!$A$2:$A$41)</f>
        <v>Prod-009</v>
      </c>
      <c r="E253" t="str">
        <f ca="1">r_choice(Branches!$A$2:$A$21)</f>
        <v>br-020</v>
      </c>
      <c r="F253" t="str">
        <f ca="1">r_choice(Employees!$A$2:$A$101)</f>
        <v>empl_033</v>
      </c>
      <c r="I253" t="str">
        <f t="shared" ca="1" si="7"/>
        <v>insert into Local_sales values ('Sale-246', 'cust-251', '08-Jan-2020', 'Prod-034', 'br-012', 'empl_001');</v>
      </c>
    </row>
    <row r="254" spans="1:9" x14ac:dyDescent="0.25">
      <c r="A254" t="s">
        <v>5150</v>
      </c>
      <c r="B254" t="str">
        <f ca="1">r_choice(Customers!$A$2:$A$301)</f>
        <v>cust-056</v>
      </c>
      <c r="C254" s="12">
        <f t="shared" ca="1" si="6"/>
        <v>44130</v>
      </c>
      <c r="D254" t="str">
        <f ca="1">r_choice(Games!$A$2:$A$41)</f>
        <v>Prod-035</v>
      </c>
      <c r="E254" t="str">
        <f ca="1">r_choice(Branches!$A$2:$A$21)</f>
        <v>br-001</v>
      </c>
      <c r="F254" t="str">
        <f ca="1">r_choice(Employees!$A$2:$A$101)</f>
        <v>empl_025</v>
      </c>
      <c r="I254" t="str">
        <f t="shared" ca="1" si="7"/>
        <v>insert into Local_sales values ('Sale-247', 'cust-161', '13-Feb-2020', 'Prod-005', 'br-017', 'empl_007');</v>
      </c>
    </row>
    <row r="255" spans="1:9" x14ac:dyDescent="0.25">
      <c r="A255" t="s">
        <v>5151</v>
      </c>
      <c r="B255" t="str">
        <f ca="1">r_choice(Customers!$A$2:$A$301)</f>
        <v>cust-021</v>
      </c>
      <c r="C255" s="12">
        <f t="shared" ca="1" si="6"/>
        <v>44069</v>
      </c>
      <c r="D255" t="str">
        <f ca="1">r_choice(Games!$A$2:$A$41)</f>
        <v>Prod-006</v>
      </c>
      <c r="E255" t="str">
        <f ca="1">r_choice(Branches!$A$2:$A$21)</f>
        <v>br-010</v>
      </c>
      <c r="F255" t="str">
        <f ca="1">r_choice(Employees!$A$2:$A$101)</f>
        <v>empl_059</v>
      </c>
      <c r="I255" t="str">
        <f t="shared" ca="1" si="7"/>
        <v>insert into Local_sales values ('Sale-248', 'cust-273', '23-Feb-2020', 'Prod-038', 'br-011', 'empl_005');</v>
      </c>
    </row>
    <row r="256" spans="1:9" x14ac:dyDescent="0.25">
      <c r="A256" t="s">
        <v>5152</v>
      </c>
      <c r="B256" t="str">
        <f ca="1">r_choice(Customers!$A$2:$A$301)</f>
        <v>cust-215</v>
      </c>
      <c r="C256" s="12">
        <f t="shared" ca="1" si="6"/>
        <v>44008</v>
      </c>
      <c r="D256" t="str">
        <f ca="1">r_choice(Games!$A$2:$A$41)</f>
        <v>Prod-023</v>
      </c>
      <c r="E256" t="str">
        <f ca="1">r_choice(Branches!$A$2:$A$21)</f>
        <v>br-007</v>
      </c>
      <c r="F256" t="str">
        <f ca="1">r_choice(Employees!$A$2:$A$101)</f>
        <v>empl_044</v>
      </c>
      <c r="I256" t="str">
        <f t="shared" ca="1" si="7"/>
        <v>insert into Local_sales values ('Sale-249', 'cust-066', '07-Jul-2020', 'Prod-039', 'br-003', 'empl_086');</v>
      </c>
    </row>
    <row r="257" spans="1:9" x14ac:dyDescent="0.25">
      <c r="A257" t="s">
        <v>5153</v>
      </c>
      <c r="B257" t="str">
        <f ca="1">r_choice(Customers!$A$2:$A$301)</f>
        <v>cust-296</v>
      </c>
      <c r="C257" s="12">
        <f t="shared" ca="1" si="6"/>
        <v>43954</v>
      </c>
      <c r="D257" t="str">
        <f ca="1">r_choice(Games!$A$2:$A$41)</f>
        <v>Prod-020</v>
      </c>
      <c r="E257" t="str">
        <f ca="1">r_choice(Branches!$A$2:$A$21)</f>
        <v>br-004</v>
      </c>
      <c r="F257" t="str">
        <f ca="1">r_choice(Employees!$A$2:$A$101)</f>
        <v>empl_056</v>
      </c>
      <c r="I257" t="str">
        <f t="shared" ca="1" si="7"/>
        <v>insert into Local_sales values ('Sale-250', 'cust-247', '16-Feb-2020', 'Prod-007', 'br-005', 'empl_006');</v>
      </c>
    </row>
    <row r="258" spans="1:9" x14ac:dyDescent="0.25">
      <c r="A258" t="s">
        <v>5154</v>
      </c>
      <c r="B258" t="str">
        <f ca="1">r_choice(Customers!$A$2:$A$301)</f>
        <v>cust-074</v>
      </c>
      <c r="C258" s="12">
        <f t="shared" ca="1" si="6"/>
        <v>43922</v>
      </c>
      <c r="D258" t="str">
        <f ca="1">r_choice(Games!$A$2:$A$41)</f>
        <v>Prod-025</v>
      </c>
      <c r="E258" t="str">
        <f ca="1">r_choice(Branches!$A$2:$A$21)</f>
        <v>br-005</v>
      </c>
      <c r="F258" t="str">
        <f ca="1">r_choice(Employees!$A$2:$A$101)</f>
        <v>empl_035</v>
      </c>
      <c r="I258" t="str">
        <f t="shared" ca="1" si="7"/>
        <v>insert into Local_sales values ('Sale-251', 'cust-185', '28-Nov-2020', 'Prod-039', 'br-011', 'empl_024');</v>
      </c>
    </row>
    <row r="259" spans="1:9" x14ac:dyDescent="0.25">
      <c r="A259" t="s">
        <v>5155</v>
      </c>
      <c r="B259" t="str">
        <f ca="1">r_choice(Customers!$A$2:$A$301)</f>
        <v>cust-024</v>
      </c>
      <c r="C259" s="12">
        <f t="shared" ref="C259:C322" ca="1" si="8">r_date(2020,1,2020,12)</f>
        <v>44007</v>
      </c>
      <c r="D259" t="str">
        <f ca="1">r_choice(Games!$A$2:$A$41)</f>
        <v>Prod-037</v>
      </c>
      <c r="E259" t="str">
        <f ca="1">r_choice(Branches!$A$2:$A$21)</f>
        <v>br-003</v>
      </c>
      <c r="F259" t="str">
        <f ca="1">r_choice(Employees!$A$2:$A$101)</f>
        <v>empl_025</v>
      </c>
      <c r="I259" t="str">
        <f t="shared" ca="1" si="7"/>
        <v>insert into Local_sales values ('Sale-252', 'cust-279', '09-Jun-2020', 'Prod-009', 'br-020', 'empl_033');</v>
      </c>
    </row>
    <row r="260" spans="1:9" x14ac:dyDescent="0.25">
      <c r="A260" t="s">
        <v>5156</v>
      </c>
      <c r="B260" t="str">
        <f ca="1">r_choice(Customers!$A$2:$A$301)</f>
        <v>cust-208</v>
      </c>
      <c r="C260" s="12">
        <f t="shared" ca="1" si="8"/>
        <v>43899</v>
      </c>
      <c r="D260" t="str">
        <f ca="1">r_choice(Games!$A$2:$A$41)</f>
        <v>Prod-021</v>
      </c>
      <c r="E260" t="str">
        <f ca="1">r_choice(Branches!$A$2:$A$21)</f>
        <v>br-009</v>
      </c>
      <c r="F260" t="str">
        <f ca="1">r_choice(Employees!$A$2:$A$101)</f>
        <v>empl_006</v>
      </c>
      <c r="I260" t="str">
        <f t="shared" ca="1" si="7"/>
        <v>insert into Local_sales values ('Sale-253', 'cust-056', '26-Oct-2020', 'Prod-035', 'br-001', 'empl_025');</v>
      </c>
    </row>
    <row r="261" spans="1:9" x14ac:dyDescent="0.25">
      <c r="A261" t="s">
        <v>5157</v>
      </c>
      <c r="B261" t="str">
        <f ca="1">r_choice(Customers!$A$2:$A$301)</f>
        <v>cust-136</v>
      </c>
      <c r="C261" s="12">
        <f t="shared" ca="1" si="8"/>
        <v>43867</v>
      </c>
      <c r="D261" t="str">
        <f ca="1">r_choice(Games!$A$2:$A$41)</f>
        <v>Prod-017</v>
      </c>
      <c r="E261" t="str">
        <f ca="1">r_choice(Branches!$A$2:$A$21)</f>
        <v>br-009</v>
      </c>
      <c r="F261" t="str">
        <f ca="1">r_choice(Employees!$A$2:$A$101)</f>
        <v>empl_007</v>
      </c>
      <c r="I261" t="str">
        <f t="shared" ca="1" si="7"/>
        <v>insert into Local_sales values ('Sale-254', 'cust-021', '26-Aug-2020', 'Prod-006', 'br-010', 'empl_059');</v>
      </c>
    </row>
    <row r="262" spans="1:9" x14ac:dyDescent="0.25">
      <c r="A262" t="s">
        <v>5158</v>
      </c>
      <c r="B262" t="str">
        <f ca="1">r_choice(Customers!$A$2:$A$301)</f>
        <v>cust-050</v>
      </c>
      <c r="C262" s="12">
        <f t="shared" ca="1" si="8"/>
        <v>43883</v>
      </c>
      <c r="D262" t="str">
        <f ca="1">r_choice(Games!$A$2:$A$41)</f>
        <v>Prod-014</v>
      </c>
      <c r="E262" t="str">
        <f ca="1">r_choice(Branches!$A$2:$A$21)</f>
        <v>br-001</v>
      </c>
      <c r="F262" t="str">
        <f ca="1">r_choice(Employees!$A$2:$A$101)</f>
        <v>empl_011</v>
      </c>
      <c r="I262" t="str">
        <f t="shared" ca="1" si="7"/>
        <v>insert into Local_sales values ('Sale-255', 'cust-215', '26-Jun-2020', 'Prod-023', 'br-007', 'empl_044');</v>
      </c>
    </row>
    <row r="263" spans="1:9" x14ac:dyDescent="0.25">
      <c r="A263" t="s">
        <v>5159</v>
      </c>
      <c r="B263" t="str">
        <f ca="1">r_choice(Customers!$A$2:$A$301)</f>
        <v>cust-081</v>
      </c>
      <c r="C263" s="12">
        <f t="shared" ca="1" si="8"/>
        <v>44000</v>
      </c>
      <c r="D263" t="str">
        <f ca="1">r_choice(Games!$A$2:$A$41)</f>
        <v>Prod-025</v>
      </c>
      <c r="E263" t="str">
        <f ca="1">r_choice(Branches!$A$2:$A$21)</f>
        <v>br-017</v>
      </c>
      <c r="F263" t="str">
        <f ca="1">r_choice(Employees!$A$2:$A$101)</f>
        <v>empl_074</v>
      </c>
      <c r="I263" t="str">
        <f t="shared" ca="1" si="7"/>
        <v>insert into Local_sales values ('Sale-256', 'cust-296', '03-May-2020', 'Prod-020', 'br-004', 'empl_056');</v>
      </c>
    </row>
    <row r="264" spans="1:9" x14ac:dyDescent="0.25">
      <c r="A264" t="s">
        <v>5160</v>
      </c>
      <c r="B264" t="str">
        <f ca="1">r_choice(Customers!$A$2:$A$301)</f>
        <v>cust-291</v>
      </c>
      <c r="C264" s="12">
        <f t="shared" ca="1" si="8"/>
        <v>44086</v>
      </c>
      <c r="D264" t="str">
        <f ca="1">r_choice(Games!$A$2:$A$41)</f>
        <v>Prod-036</v>
      </c>
      <c r="E264" t="str">
        <f ca="1">r_choice(Branches!$A$2:$A$21)</f>
        <v>br-003</v>
      </c>
      <c r="F264" t="str">
        <f ca="1">r_choice(Employees!$A$2:$A$101)</f>
        <v>empl_052</v>
      </c>
      <c r="I264" t="str">
        <f t="shared" ref="I264:I327" ca="1" si="9">insertinto(A258:F258,$I$1:$J$6,"Local_sales")</f>
        <v>insert into Local_sales values ('Sale-257', 'cust-074', '01-Apr-2020', 'Prod-025', 'br-005', 'empl_035');</v>
      </c>
    </row>
    <row r="265" spans="1:9" x14ac:dyDescent="0.25">
      <c r="A265" t="s">
        <v>5161</v>
      </c>
      <c r="B265" t="str">
        <f ca="1">r_choice(Customers!$A$2:$A$301)</f>
        <v>cust-258</v>
      </c>
      <c r="C265" s="12">
        <f t="shared" ca="1" si="8"/>
        <v>44129</v>
      </c>
      <c r="D265" t="str">
        <f ca="1">r_choice(Games!$A$2:$A$41)</f>
        <v>Prod-027</v>
      </c>
      <c r="E265" t="str">
        <f ca="1">r_choice(Branches!$A$2:$A$21)</f>
        <v>br-014</v>
      </c>
      <c r="F265" t="str">
        <f ca="1">r_choice(Employees!$A$2:$A$101)</f>
        <v>empl_054</v>
      </c>
      <c r="I265" t="str">
        <f t="shared" ca="1" si="9"/>
        <v>insert into Local_sales values ('Sale-258', 'cust-024', '25-Jun-2020', 'Prod-037', 'br-003', 'empl_025');</v>
      </c>
    </row>
    <row r="266" spans="1:9" x14ac:dyDescent="0.25">
      <c r="A266" t="s">
        <v>5162</v>
      </c>
      <c r="B266" t="str">
        <f ca="1">r_choice(Customers!$A$2:$A$301)</f>
        <v>cust-271</v>
      </c>
      <c r="C266" s="12">
        <f t="shared" ca="1" si="8"/>
        <v>43890</v>
      </c>
      <c r="D266" t="str">
        <f ca="1">r_choice(Games!$A$2:$A$41)</f>
        <v>Prod-024</v>
      </c>
      <c r="E266" t="str">
        <f ca="1">r_choice(Branches!$A$2:$A$21)</f>
        <v>br-005</v>
      </c>
      <c r="F266" t="str">
        <f ca="1">r_choice(Employees!$A$2:$A$101)</f>
        <v>empl_007</v>
      </c>
      <c r="I266" t="str">
        <f t="shared" ca="1" si="9"/>
        <v>insert into Local_sales values ('Sale-259', 'cust-208', '09-Mar-2020', 'Prod-021', 'br-009', 'empl_006');</v>
      </c>
    </row>
    <row r="267" spans="1:9" x14ac:dyDescent="0.25">
      <c r="A267" t="s">
        <v>5163</v>
      </c>
      <c r="B267" t="str">
        <f ca="1">r_choice(Customers!$A$2:$A$301)</f>
        <v>cust-286</v>
      </c>
      <c r="C267" s="12">
        <f t="shared" ca="1" si="8"/>
        <v>43936</v>
      </c>
      <c r="D267" t="str">
        <f ca="1">r_choice(Games!$A$2:$A$41)</f>
        <v>Prod-019</v>
      </c>
      <c r="E267" t="str">
        <f ca="1">r_choice(Branches!$A$2:$A$21)</f>
        <v>br-018</v>
      </c>
      <c r="F267" t="str">
        <f ca="1">r_choice(Employees!$A$2:$A$101)</f>
        <v>empl_028</v>
      </c>
      <c r="I267" t="str">
        <f t="shared" ca="1" si="9"/>
        <v>insert into Local_sales values ('Sale-260', 'cust-136', '06-Feb-2020', 'Prod-017', 'br-009', 'empl_007');</v>
      </c>
    </row>
    <row r="268" spans="1:9" x14ac:dyDescent="0.25">
      <c r="A268" t="s">
        <v>5164</v>
      </c>
      <c r="B268" t="str">
        <f ca="1">r_choice(Customers!$A$2:$A$301)</f>
        <v>cust-295</v>
      </c>
      <c r="C268" s="12">
        <f t="shared" ca="1" si="8"/>
        <v>43937</v>
      </c>
      <c r="D268" t="str">
        <f ca="1">r_choice(Games!$A$2:$A$41)</f>
        <v>Prod-014</v>
      </c>
      <c r="E268" t="str">
        <f ca="1">r_choice(Branches!$A$2:$A$21)</f>
        <v>br-019</v>
      </c>
      <c r="F268" t="str">
        <f ca="1">r_choice(Employees!$A$2:$A$101)</f>
        <v>empl_011</v>
      </c>
      <c r="I268" t="str">
        <f t="shared" ca="1" si="9"/>
        <v>insert into Local_sales values ('Sale-261', 'cust-050', '22-Feb-2020', 'Prod-014', 'br-001', 'empl_011');</v>
      </c>
    </row>
    <row r="269" spans="1:9" x14ac:dyDescent="0.25">
      <c r="A269" t="s">
        <v>5165</v>
      </c>
      <c r="B269" t="str">
        <f ca="1">r_choice(Customers!$A$2:$A$301)</f>
        <v>cust-061</v>
      </c>
      <c r="C269" s="12">
        <f t="shared" ca="1" si="8"/>
        <v>44018</v>
      </c>
      <c r="D269" t="str">
        <f ca="1">r_choice(Games!$A$2:$A$41)</f>
        <v>Prod-017</v>
      </c>
      <c r="E269" t="str">
        <f ca="1">r_choice(Branches!$A$2:$A$21)</f>
        <v>br-002</v>
      </c>
      <c r="F269" t="str">
        <f ca="1">r_choice(Employees!$A$2:$A$101)</f>
        <v>empl_063</v>
      </c>
      <c r="I269" t="str">
        <f t="shared" ca="1" si="9"/>
        <v>insert into Local_sales values ('Sale-262', 'cust-081', '18-Jun-2020', 'Prod-025', 'br-017', 'empl_074');</v>
      </c>
    </row>
    <row r="270" spans="1:9" x14ac:dyDescent="0.25">
      <c r="A270" t="s">
        <v>5166</v>
      </c>
      <c r="B270" t="str">
        <f ca="1">r_choice(Customers!$A$2:$A$301)</f>
        <v>cust-033</v>
      </c>
      <c r="C270" s="12">
        <f t="shared" ca="1" si="8"/>
        <v>43868</v>
      </c>
      <c r="D270" t="str">
        <f ca="1">r_choice(Games!$A$2:$A$41)</f>
        <v>Prod-037</v>
      </c>
      <c r="E270" t="str">
        <f ca="1">r_choice(Branches!$A$2:$A$21)</f>
        <v>br-019</v>
      </c>
      <c r="F270" t="str">
        <f ca="1">r_choice(Employees!$A$2:$A$101)</f>
        <v>empl_011</v>
      </c>
      <c r="I270" t="str">
        <f t="shared" ca="1" si="9"/>
        <v>insert into Local_sales values ('Sale-263', 'cust-291', '12-Sep-2020', 'Prod-036', 'br-003', 'empl_052');</v>
      </c>
    </row>
    <row r="271" spans="1:9" x14ac:dyDescent="0.25">
      <c r="A271" t="s">
        <v>5167</v>
      </c>
      <c r="B271" t="str">
        <f ca="1">r_choice(Customers!$A$2:$A$301)</f>
        <v>cust-236</v>
      </c>
      <c r="C271" s="12">
        <f t="shared" ca="1" si="8"/>
        <v>43921</v>
      </c>
      <c r="D271" t="str">
        <f ca="1">r_choice(Games!$A$2:$A$41)</f>
        <v>Prod-001</v>
      </c>
      <c r="E271" t="str">
        <f ca="1">r_choice(Branches!$A$2:$A$21)</f>
        <v>br-011</v>
      </c>
      <c r="F271" t="str">
        <f ca="1">r_choice(Employees!$A$2:$A$101)</f>
        <v>empl_045</v>
      </c>
      <c r="I271" t="str">
        <f t="shared" ca="1" si="9"/>
        <v>insert into Local_sales values ('Sale-264', 'cust-258', '25-Oct-2020', 'Prod-027', 'br-014', 'empl_054');</v>
      </c>
    </row>
    <row r="272" spans="1:9" x14ac:dyDescent="0.25">
      <c r="A272" t="s">
        <v>5168</v>
      </c>
      <c r="B272" t="str">
        <f ca="1">r_choice(Customers!$A$2:$A$301)</f>
        <v>cust-254</v>
      </c>
      <c r="C272" s="12">
        <f t="shared" ca="1" si="8"/>
        <v>43953</v>
      </c>
      <c r="D272" t="str">
        <f ca="1">r_choice(Games!$A$2:$A$41)</f>
        <v>Prod-038</v>
      </c>
      <c r="E272" t="str">
        <f ca="1">r_choice(Branches!$A$2:$A$21)</f>
        <v>br-011</v>
      </c>
      <c r="F272" t="str">
        <f ca="1">r_choice(Employees!$A$2:$A$101)</f>
        <v>empl_069</v>
      </c>
      <c r="I272" t="str">
        <f t="shared" ca="1" si="9"/>
        <v>insert into Local_sales values ('Sale-265', 'cust-271', '29-Feb-2020', 'Prod-024', 'br-005', 'empl_007');</v>
      </c>
    </row>
    <row r="273" spans="1:9" x14ac:dyDescent="0.25">
      <c r="A273" t="s">
        <v>5169</v>
      </c>
      <c r="B273" t="str">
        <f ca="1">r_choice(Customers!$A$2:$A$301)</f>
        <v>cust-267</v>
      </c>
      <c r="C273" s="12">
        <f t="shared" ca="1" si="8"/>
        <v>43929</v>
      </c>
      <c r="D273" t="str">
        <f ca="1">r_choice(Games!$A$2:$A$41)</f>
        <v>Prod-010</v>
      </c>
      <c r="E273" t="str">
        <f ca="1">r_choice(Branches!$A$2:$A$21)</f>
        <v>br-009</v>
      </c>
      <c r="F273" t="str">
        <f ca="1">r_choice(Employees!$A$2:$A$101)</f>
        <v>empl_055</v>
      </c>
      <c r="I273" t="str">
        <f t="shared" ca="1" si="9"/>
        <v>insert into Local_sales values ('Sale-266', 'cust-286', '15-Apr-2020', 'Prod-019', 'br-018', 'empl_028');</v>
      </c>
    </row>
    <row r="274" spans="1:9" x14ac:dyDescent="0.25">
      <c r="A274" t="s">
        <v>5170</v>
      </c>
      <c r="B274" t="str">
        <f ca="1">r_choice(Customers!$A$2:$A$301)</f>
        <v>cust-234</v>
      </c>
      <c r="C274" s="12">
        <f t="shared" ca="1" si="8"/>
        <v>43898</v>
      </c>
      <c r="D274" t="str">
        <f ca="1">r_choice(Games!$A$2:$A$41)</f>
        <v>Prod-019</v>
      </c>
      <c r="E274" t="str">
        <f ca="1">r_choice(Branches!$A$2:$A$21)</f>
        <v>br-002</v>
      </c>
      <c r="F274" t="str">
        <f ca="1">r_choice(Employees!$A$2:$A$101)</f>
        <v>empl_091</v>
      </c>
      <c r="I274" t="str">
        <f t="shared" ca="1" si="9"/>
        <v>insert into Local_sales values ('Sale-267', 'cust-295', '16-Apr-2020', 'Prod-014', 'br-019', 'empl_011');</v>
      </c>
    </row>
    <row r="275" spans="1:9" x14ac:dyDescent="0.25">
      <c r="A275" t="s">
        <v>5171</v>
      </c>
      <c r="B275" t="str">
        <f ca="1">r_choice(Customers!$A$2:$A$301)</f>
        <v>cust-005</v>
      </c>
      <c r="C275" s="12">
        <f t="shared" ca="1" si="8"/>
        <v>43996</v>
      </c>
      <c r="D275" t="str">
        <f ca="1">r_choice(Games!$A$2:$A$41)</f>
        <v>Prod-010</v>
      </c>
      <c r="E275" t="str">
        <f ca="1">r_choice(Branches!$A$2:$A$21)</f>
        <v>br-015</v>
      </c>
      <c r="F275" t="str">
        <f ca="1">r_choice(Employees!$A$2:$A$101)</f>
        <v>empl_029</v>
      </c>
      <c r="I275" t="str">
        <f t="shared" ca="1" si="9"/>
        <v>insert into Local_sales values ('Sale-268', 'cust-061', '06-Jul-2020', 'Prod-017', 'br-002', 'empl_063');</v>
      </c>
    </row>
    <row r="276" spans="1:9" x14ac:dyDescent="0.25">
      <c r="A276" t="s">
        <v>5172</v>
      </c>
      <c r="B276" t="str">
        <f ca="1">r_choice(Customers!$A$2:$A$301)</f>
        <v>cust-263</v>
      </c>
      <c r="C276" s="12">
        <f t="shared" ca="1" si="8"/>
        <v>44157</v>
      </c>
      <c r="D276" t="str">
        <f ca="1">r_choice(Games!$A$2:$A$41)</f>
        <v>Prod-010</v>
      </c>
      <c r="E276" t="str">
        <f ca="1">r_choice(Branches!$A$2:$A$21)</f>
        <v>br-005</v>
      </c>
      <c r="F276" t="str">
        <f ca="1">r_choice(Employees!$A$2:$A$101)</f>
        <v>empl_006</v>
      </c>
      <c r="I276" t="str">
        <f t="shared" ca="1" si="9"/>
        <v>insert into Local_sales values ('Sale-269', 'cust-033', '07-Feb-2020', 'Prod-037', 'br-019', 'empl_011');</v>
      </c>
    </row>
    <row r="277" spans="1:9" x14ac:dyDescent="0.25">
      <c r="A277" t="s">
        <v>5173</v>
      </c>
      <c r="B277" t="str">
        <f ca="1">r_choice(Customers!$A$2:$A$301)</f>
        <v>cust-122</v>
      </c>
      <c r="C277" s="12">
        <f t="shared" ca="1" si="8"/>
        <v>43943</v>
      </c>
      <c r="D277" t="str">
        <f ca="1">r_choice(Games!$A$2:$A$41)</f>
        <v>Prod-004</v>
      </c>
      <c r="E277" t="str">
        <f ca="1">r_choice(Branches!$A$2:$A$21)</f>
        <v>br-004</v>
      </c>
      <c r="F277" t="str">
        <f ca="1">r_choice(Employees!$A$2:$A$101)</f>
        <v>empl_037</v>
      </c>
      <c r="I277" t="str">
        <f t="shared" ca="1" si="9"/>
        <v>insert into Local_sales values ('Sale-270', 'cust-236', '31-Mar-2020', 'Prod-001', 'br-011', 'empl_045');</v>
      </c>
    </row>
    <row r="278" spans="1:9" x14ac:dyDescent="0.25">
      <c r="A278" t="s">
        <v>5174</v>
      </c>
      <c r="B278" t="str">
        <f ca="1">r_choice(Customers!$A$2:$A$301)</f>
        <v>cust-050</v>
      </c>
      <c r="C278" s="12">
        <f t="shared" ca="1" si="8"/>
        <v>44090</v>
      </c>
      <c r="D278" t="str">
        <f ca="1">r_choice(Games!$A$2:$A$41)</f>
        <v>Prod-004</v>
      </c>
      <c r="E278" t="str">
        <f ca="1">r_choice(Branches!$A$2:$A$21)</f>
        <v>br-015</v>
      </c>
      <c r="F278" t="str">
        <f ca="1">r_choice(Employees!$A$2:$A$101)</f>
        <v>empl_034</v>
      </c>
      <c r="I278" t="str">
        <f t="shared" ca="1" si="9"/>
        <v>insert into Local_sales values ('Sale-271', 'cust-254', '02-May-2020', 'Prod-038', 'br-011', 'empl_069');</v>
      </c>
    </row>
    <row r="279" spans="1:9" x14ac:dyDescent="0.25">
      <c r="A279" t="s">
        <v>5175</v>
      </c>
      <c r="B279" t="str">
        <f ca="1">r_choice(Customers!$A$2:$A$301)</f>
        <v>cust-281</v>
      </c>
      <c r="C279" s="12">
        <f t="shared" ca="1" si="8"/>
        <v>44083</v>
      </c>
      <c r="D279" t="str">
        <f ca="1">r_choice(Games!$A$2:$A$41)</f>
        <v>Prod-014</v>
      </c>
      <c r="E279" t="str">
        <f ca="1">r_choice(Branches!$A$2:$A$21)</f>
        <v>br-002</v>
      </c>
      <c r="F279" t="str">
        <f ca="1">r_choice(Employees!$A$2:$A$101)</f>
        <v>empl_078</v>
      </c>
      <c r="I279" t="str">
        <f t="shared" ca="1" si="9"/>
        <v>insert into Local_sales values ('Sale-272', 'cust-267', '08-Apr-2020', 'Prod-010', 'br-009', 'empl_055');</v>
      </c>
    </row>
    <row r="280" spans="1:9" x14ac:dyDescent="0.25">
      <c r="A280" t="s">
        <v>5176</v>
      </c>
      <c r="B280" t="str">
        <f ca="1">r_choice(Customers!$A$2:$A$301)</f>
        <v>cust-081</v>
      </c>
      <c r="C280" s="12">
        <f t="shared" ca="1" si="8"/>
        <v>44042</v>
      </c>
      <c r="D280" t="str">
        <f ca="1">r_choice(Games!$A$2:$A$41)</f>
        <v>Prod-025</v>
      </c>
      <c r="E280" t="str">
        <f ca="1">r_choice(Branches!$A$2:$A$21)</f>
        <v>br-002</v>
      </c>
      <c r="F280" t="str">
        <f ca="1">r_choice(Employees!$A$2:$A$101)</f>
        <v>empl_094</v>
      </c>
      <c r="I280" t="str">
        <f t="shared" ca="1" si="9"/>
        <v>insert into Local_sales values ('Sale-273', 'cust-234', '08-Mar-2020', 'Prod-019', 'br-002', 'empl_091');</v>
      </c>
    </row>
    <row r="281" spans="1:9" x14ac:dyDescent="0.25">
      <c r="A281" t="s">
        <v>5177</v>
      </c>
      <c r="B281" t="str">
        <f ca="1">r_choice(Customers!$A$2:$A$301)</f>
        <v>cust-050</v>
      </c>
      <c r="C281" s="12">
        <f t="shared" ca="1" si="8"/>
        <v>43955</v>
      </c>
      <c r="D281" t="str">
        <f ca="1">r_choice(Games!$A$2:$A$41)</f>
        <v>Prod-034</v>
      </c>
      <c r="E281" t="str">
        <f ca="1">r_choice(Branches!$A$2:$A$21)</f>
        <v>br-007</v>
      </c>
      <c r="F281" t="str">
        <f ca="1">r_choice(Employees!$A$2:$A$101)</f>
        <v>empl_055</v>
      </c>
      <c r="I281" t="str">
        <f t="shared" ca="1" si="9"/>
        <v>insert into Local_sales values ('Sale-274', 'cust-005', '14-Jun-2020', 'Prod-010', 'br-015', 'empl_029');</v>
      </c>
    </row>
    <row r="282" spans="1:9" x14ac:dyDescent="0.25">
      <c r="A282" t="s">
        <v>5178</v>
      </c>
      <c r="B282" t="str">
        <f ca="1">r_choice(Customers!$A$2:$A$301)</f>
        <v>cust-191</v>
      </c>
      <c r="C282" s="12">
        <f t="shared" ca="1" si="8"/>
        <v>44090</v>
      </c>
      <c r="D282" t="str">
        <f ca="1">r_choice(Games!$A$2:$A$41)</f>
        <v>Prod-035</v>
      </c>
      <c r="E282" t="str">
        <f ca="1">r_choice(Branches!$A$2:$A$21)</f>
        <v>br-001</v>
      </c>
      <c r="F282" t="str">
        <f ca="1">r_choice(Employees!$A$2:$A$101)</f>
        <v>empl_004</v>
      </c>
      <c r="I282" t="str">
        <f t="shared" ca="1" si="9"/>
        <v>insert into Local_sales values ('Sale-275', 'cust-263', '22-Nov-2020', 'Prod-010', 'br-005', 'empl_006');</v>
      </c>
    </row>
    <row r="283" spans="1:9" x14ac:dyDescent="0.25">
      <c r="A283" t="s">
        <v>5179</v>
      </c>
      <c r="B283" t="str">
        <f ca="1">r_choice(Customers!$A$2:$A$301)</f>
        <v>cust-199</v>
      </c>
      <c r="C283" s="12">
        <f t="shared" ca="1" si="8"/>
        <v>43942</v>
      </c>
      <c r="D283" t="str">
        <f ca="1">r_choice(Games!$A$2:$A$41)</f>
        <v>Prod-019</v>
      </c>
      <c r="E283" t="str">
        <f ca="1">r_choice(Branches!$A$2:$A$21)</f>
        <v>br-015</v>
      </c>
      <c r="F283" t="str">
        <f ca="1">r_choice(Employees!$A$2:$A$101)</f>
        <v>empl_100</v>
      </c>
      <c r="I283" t="str">
        <f t="shared" ca="1" si="9"/>
        <v>insert into Local_sales values ('Sale-276', 'cust-122', '22-Apr-2020', 'Prod-004', 'br-004', 'empl_037');</v>
      </c>
    </row>
    <row r="284" spans="1:9" x14ac:dyDescent="0.25">
      <c r="A284" t="s">
        <v>5180</v>
      </c>
      <c r="B284" t="str">
        <f ca="1">r_choice(Customers!$A$2:$A$301)</f>
        <v>cust-040</v>
      </c>
      <c r="C284" s="12">
        <f t="shared" ca="1" si="8"/>
        <v>44019</v>
      </c>
      <c r="D284" t="str">
        <f ca="1">r_choice(Games!$A$2:$A$41)</f>
        <v>Prod-014</v>
      </c>
      <c r="E284" t="str">
        <f ca="1">r_choice(Branches!$A$2:$A$21)</f>
        <v>br-019</v>
      </c>
      <c r="F284" t="str">
        <f ca="1">r_choice(Employees!$A$2:$A$101)</f>
        <v>empl_032</v>
      </c>
      <c r="I284" t="str">
        <f t="shared" ca="1" si="9"/>
        <v>insert into Local_sales values ('Sale-277', 'cust-050', '16-Sep-2020', 'Prod-004', 'br-015', 'empl_034');</v>
      </c>
    </row>
    <row r="285" spans="1:9" x14ac:dyDescent="0.25">
      <c r="A285" t="s">
        <v>5181</v>
      </c>
      <c r="B285" t="str">
        <f ca="1">r_choice(Customers!$A$2:$A$301)</f>
        <v>cust-154</v>
      </c>
      <c r="C285" s="12">
        <f t="shared" ca="1" si="8"/>
        <v>44113</v>
      </c>
      <c r="D285" t="str">
        <f ca="1">r_choice(Games!$A$2:$A$41)</f>
        <v>Prod-035</v>
      </c>
      <c r="E285" t="str">
        <f ca="1">r_choice(Branches!$A$2:$A$21)</f>
        <v>br-011</v>
      </c>
      <c r="F285" t="str">
        <f ca="1">r_choice(Employees!$A$2:$A$101)</f>
        <v>empl_039</v>
      </c>
      <c r="I285" t="str">
        <f t="shared" ca="1" si="9"/>
        <v>insert into Local_sales values ('Sale-278', 'cust-281', '09-Sep-2020', 'Prod-014', 'br-002', 'empl_078');</v>
      </c>
    </row>
    <row r="286" spans="1:9" x14ac:dyDescent="0.25">
      <c r="A286" t="s">
        <v>5182</v>
      </c>
      <c r="B286" t="str">
        <f ca="1">r_choice(Customers!$A$2:$A$301)</f>
        <v>cust-007</v>
      </c>
      <c r="C286" s="12">
        <f t="shared" ca="1" si="8"/>
        <v>44006</v>
      </c>
      <c r="D286" t="str">
        <f ca="1">r_choice(Games!$A$2:$A$41)</f>
        <v>Prod-025</v>
      </c>
      <c r="E286" t="str">
        <f ca="1">r_choice(Branches!$A$2:$A$21)</f>
        <v>br-009</v>
      </c>
      <c r="F286" t="str">
        <f ca="1">r_choice(Employees!$A$2:$A$101)</f>
        <v>empl_042</v>
      </c>
      <c r="I286" t="str">
        <f t="shared" ca="1" si="9"/>
        <v>insert into Local_sales values ('Sale-279', 'cust-081', '30-Jul-2020', 'Prod-025', 'br-002', 'empl_094');</v>
      </c>
    </row>
    <row r="287" spans="1:9" x14ac:dyDescent="0.25">
      <c r="A287" t="s">
        <v>5183</v>
      </c>
      <c r="B287" t="str">
        <f ca="1">r_choice(Customers!$A$2:$A$301)</f>
        <v>cust-091</v>
      </c>
      <c r="C287" s="12">
        <f t="shared" ca="1" si="8"/>
        <v>44182</v>
      </c>
      <c r="D287" t="str">
        <f ca="1">r_choice(Games!$A$2:$A$41)</f>
        <v>Prod-021</v>
      </c>
      <c r="E287" t="str">
        <f ca="1">r_choice(Branches!$A$2:$A$21)</f>
        <v>br-008</v>
      </c>
      <c r="F287" t="str">
        <f ca="1">r_choice(Employees!$A$2:$A$101)</f>
        <v>empl_070</v>
      </c>
      <c r="I287" t="str">
        <f t="shared" ca="1" si="9"/>
        <v>insert into Local_sales values ('Sale-280', 'cust-050', '04-May-2020', 'Prod-034', 'br-007', 'empl_055');</v>
      </c>
    </row>
    <row r="288" spans="1:9" x14ac:dyDescent="0.25">
      <c r="A288" t="s">
        <v>5184</v>
      </c>
      <c r="B288" t="str">
        <f ca="1">r_choice(Customers!$A$2:$A$301)</f>
        <v>cust-194</v>
      </c>
      <c r="C288" s="12">
        <f t="shared" ca="1" si="8"/>
        <v>43892</v>
      </c>
      <c r="D288" t="str">
        <f ca="1">r_choice(Games!$A$2:$A$41)</f>
        <v>Prod-005</v>
      </c>
      <c r="E288" t="str">
        <f ca="1">r_choice(Branches!$A$2:$A$21)</f>
        <v>br-004</v>
      </c>
      <c r="F288" t="str">
        <f ca="1">r_choice(Employees!$A$2:$A$101)</f>
        <v>empl_044</v>
      </c>
      <c r="I288" t="str">
        <f t="shared" ca="1" si="9"/>
        <v>insert into Local_sales values ('Sale-281', 'cust-191', '16-Sep-2020', 'Prod-035', 'br-001', 'empl_004');</v>
      </c>
    </row>
    <row r="289" spans="1:9" x14ac:dyDescent="0.25">
      <c r="A289" t="s">
        <v>5185</v>
      </c>
      <c r="B289" t="str">
        <f ca="1">r_choice(Customers!$A$2:$A$301)</f>
        <v>cust-081</v>
      </c>
      <c r="C289" s="12">
        <f t="shared" ca="1" si="8"/>
        <v>43907</v>
      </c>
      <c r="D289" t="str">
        <f ca="1">r_choice(Games!$A$2:$A$41)</f>
        <v>Prod-027</v>
      </c>
      <c r="E289" t="str">
        <f ca="1">r_choice(Branches!$A$2:$A$21)</f>
        <v>br-014</v>
      </c>
      <c r="F289" t="str">
        <f ca="1">r_choice(Employees!$A$2:$A$101)</f>
        <v>empl_081</v>
      </c>
      <c r="I289" t="str">
        <f t="shared" ca="1" si="9"/>
        <v>insert into Local_sales values ('Sale-282', 'cust-199', '21-Apr-2020', 'Prod-019', 'br-015', 'empl_100');</v>
      </c>
    </row>
    <row r="290" spans="1:9" x14ac:dyDescent="0.25">
      <c r="A290" t="s">
        <v>5186</v>
      </c>
      <c r="B290" t="str">
        <f ca="1">r_choice(Customers!$A$2:$A$301)</f>
        <v>cust-049</v>
      </c>
      <c r="C290" s="12">
        <f t="shared" ca="1" si="8"/>
        <v>44168</v>
      </c>
      <c r="D290" t="str">
        <f ca="1">r_choice(Games!$A$2:$A$41)</f>
        <v>Prod-020</v>
      </c>
      <c r="E290" t="str">
        <f ca="1">r_choice(Branches!$A$2:$A$21)</f>
        <v>br-019</v>
      </c>
      <c r="F290" t="str">
        <f ca="1">r_choice(Employees!$A$2:$A$101)</f>
        <v>empl_068</v>
      </c>
      <c r="I290" t="str">
        <f t="shared" ca="1" si="9"/>
        <v>insert into Local_sales values ('Sale-283', 'cust-040', '07-Jul-2020', 'Prod-014', 'br-019', 'empl_032');</v>
      </c>
    </row>
    <row r="291" spans="1:9" x14ac:dyDescent="0.25">
      <c r="A291" t="s">
        <v>5187</v>
      </c>
      <c r="B291" t="str">
        <f ca="1">r_choice(Customers!$A$2:$A$301)</f>
        <v>cust-151</v>
      </c>
      <c r="C291" s="12">
        <f t="shared" ca="1" si="8"/>
        <v>43963</v>
      </c>
      <c r="D291" t="str">
        <f ca="1">r_choice(Games!$A$2:$A$41)</f>
        <v>Prod-018</v>
      </c>
      <c r="E291" t="str">
        <f ca="1">r_choice(Branches!$A$2:$A$21)</f>
        <v>br-010</v>
      </c>
      <c r="F291" t="str">
        <f ca="1">r_choice(Employees!$A$2:$A$101)</f>
        <v>empl_055</v>
      </c>
      <c r="I291" t="str">
        <f t="shared" ca="1" si="9"/>
        <v>insert into Local_sales values ('Sale-284', 'cust-154', '09-Oct-2020', 'Prod-035', 'br-011', 'empl_039');</v>
      </c>
    </row>
    <row r="292" spans="1:9" x14ac:dyDescent="0.25">
      <c r="A292" t="s">
        <v>5188</v>
      </c>
      <c r="B292" t="str">
        <f ca="1">r_choice(Customers!$A$2:$A$301)</f>
        <v>cust-084</v>
      </c>
      <c r="C292" s="12">
        <f t="shared" ca="1" si="8"/>
        <v>43929</v>
      </c>
      <c r="D292" t="str">
        <f ca="1">r_choice(Games!$A$2:$A$41)</f>
        <v>Prod-001</v>
      </c>
      <c r="E292" t="str">
        <f ca="1">r_choice(Branches!$A$2:$A$21)</f>
        <v>br-008</v>
      </c>
      <c r="F292" t="str">
        <f ca="1">r_choice(Employees!$A$2:$A$101)</f>
        <v>empl_093</v>
      </c>
      <c r="I292" t="str">
        <f t="shared" ca="1" si="9"/>
        <v>insert into Local_sales values ('Sale-285', 'cust-007', '24-Jun-2020', 'Prod-025', 'br-009', 'empl_042');</v>
      </c>
    </row>
    <row r="293" spans="1:9" x14ac:dyDescent="0.25">
      <c r="A293" t="s">
        <v>5189</v>
      </c>
      <c r="B293" t="str">
        <f ca="1">r_choice(Customers!$A$2:$A$301)</f>
        <v>cust-224</v>
      </c>
      <c r="C293" s="12">
        <f t="shared" ca="1" si="8"/>
        <v>43988</v>
      </c>
      <c r="D293" t="str">
        <f ca="1">r_choice(Games!$A$2:$A$41)</f>
        <v>Prod-007</v>
      </c>
      <c r="E293" t="str">
        <f ca="1">r_choice(Branches!$A$2:$A$21)</f>
        <v>br-001</v>
      </c>
      <c r="F293" t="str">
        <f ca="1">r_choice(Employees!$A$2:$A$101)</f>
        <v>empl_067</v>
      </c>
      <c r="I293" t="str">
        <f t="shared" ca="1" si="9"/>
        <v>insert into Local_sales values ('Sale-286', 'cust-091', '17-Dec-2020', 'Prod-021', 'br-008', 'empl_070');</v>
      </c>
    </row>
    <row r="294" spans="1:9" x14ac:dyDescent="0.25">
      <c r="A294" t="s">
        <v>5190</v>
      </c>
      <c r="B294" t="str">
        <f ca="1">r_choice(Customers!$A$2:$A$301)</f>
        <v>cust-047</v>
      </c>
      <c r="C294" s="12">
        <f t="shared" ca="1" si="8"/>
        <v>43885</v>
      </c>
      <c r="D294" t="str">
        <f ca="1">r_choice(Games!$A$2:$A$41)</f>
        <v>Prod-038</v>
      </c>
      <c r="E294" t="str">
        <f ca="1">r_choice(Branches!$A$2:$A$21)</f>
        <v>br-011</v>
      </c>
      <c r="F294" t="str">
        <f ca="1">r_choice(Employees!$A$2:$A$101)</f>
        <v>empl_088</v>
      </c>
      <c r="I294" t="str">
        <f t="shared" ca="1" si="9"/>
        <v>insert into Local_sales values ('Sale-287', 'cust-194', '02-Mar-2020', 'Prod-005', 'br-004', 'empl_044');</v>
      </c>
    </row>
    <row r="295" spans="1:9" x14ac:dyDescent="0.25">
      <c r="A295" t="s">
        <v>5191</v>
      </c>
      <c r="B295" t="str">
        <f ca="1">r_choice(Customers!$A$2:$A$301)</f>
        <v>cust-236</v>
      </c>
      <c r="C295" s="12">
        <f t="shared" ca="1" si="8"/>
        <v>44133</v>
      </c>
      <c r="D295" t="str">
        <f ca="1">r_choice(Games!$A$2:$A$41)</f>
        <v>Prod-016</v>
      </c>
      <c r="E295" t="str">
        <f ca="1">r_choice(Branches!$A$2:$A$21)</f>
        <v>br-003</v>
      </c>
      <c r="F295" t="str">
        <f ca="1">r_choice(Employees!$A$2:$A$101)</f>
        <v>empl_036</v>
      </c>
      <c r="I295" t="str">
        <f t="shared" ca="1" si="9"/>
        <v>insert into Local_sales values ('Sale-288', 'cust-081', '17-Mar-2020', 'Prod-027', 'br-014', 'empl_081');</v>
      </c>
    </row>
    <row r="296" spans="1:9" x14ac:dyDescent="0.25">
      <c r="A296" t="s">
        <v>5192</v>
      </c>
      <c r="B296" t="str">
        <f ca="1">r_choice(Customers!$A$2:$A$301)</f>
        <v>cust-116</v>
      </c>
      <c r="C296" s="12">
        <f t="shared" ca="1" si="8"/>
        <v>44058</v>
      </c>
      <c r="D296" t="str">
        <f ca="1">r_choice(Games!$A$2:$A$41)</f>
        <v>Prod-031</v>
      </c>
      <c r="E296" t="str">
        <f ca="1">r_choice(Branches!$A$2:$A$21)</f>
        <v>br-018</v>
      </c>
      <c r="F296" t="str">
        <f ca="1">r_choice(Employees!$A$2:$A$101)</f>
        <v>empl_018</v>
      </c>
      <c r="I296" t="str">
        <f t="shared" ca="1" si="9"/>
        <v>insert into Local_sales values ('Sale-289', 'cust-049', '03-Dec-2020', 'Prod-020', 'br-019', 'empl_068');</v>
      </c>
    </row>
    <row r="297" spans="1:9" x14ac:dyDescent="0.25">
      <c r="A297" t="s">
        <v>5193</v>
      </c>
      <c r="B297" t="str">
        <f ca="1">r_choice(Customers!$A$2:$A$301)</f>
        <v>cust-109</v>
      </c>
      <c r="C297" s="12">
        <f t="shared" ca="1" si="8"/>
        <v>44022</v>
      </c>
      <c r="D297" t="str">
        <f ca="1">r_choice(Games!$A$2:$A$41)</f>
        <v>Prod-035</v>
      </c>
      <c r="E297" t="str">
        <f ca="1">r_choice(Branches!$A$2:$A$21)</f>
        <v>br-006</v>
      </c>
      <c r="F297" t="str">
        <f ca="1">r_choice(Employees!$A$2:$A$101)</f>
        <v>empl_068</v>
      </c>
      <c r="I297" t="str">
        <f t="shared" ca="1" si="9"/>
        <v>insert into Local_sales values ('Sale-290', 'cust-151', '12-May-2020', 'Prod-018', 'br-010', 'empl_055');</v>
      </c>
    </row>
    <row r="298" spans="1:9" x14ac:dyDescent="0.25">
      <c r="A298" t="s">
        <v>5194</v>
      </c>
      <c r="B298" t="str">
        <f ca="1">r_choice(Customers!$A$2:$A$301)</f>
        <v>cust-256</v>
      </c>
      <c r="C298" s="12">
        <f t="shared" ca="1" si="8"/>
        <v>44189</v>
      </c>
      <c r="D298" t="str">
        <f ca="1">r_choice(Games!$A$2:$A$41)</f>
        <v>Prod-023</v>
      </c>
      <c r="E298" t="str">
        <f ca="1">r_choice(Branches!$A$2:$A$21)</f>
        <v>br-013</v>
      </c>
      <c r="F298" t="str">
        <f ca="1">r_choice(Employees!$A$2:$A$101)</f>
        <v>empl_020</v>
      </c>
      <c r="I298" t="str">
        <f t="shared" ca="1" si="9"/>
        <v>insert into Local_sales values ('Sale-291', 'cust-084', '08-Apr-2020', 'Prod-001', 'br-008', 'empl_093');</v>
      </c>
    </row>
    <row r="299" spans="1:9" x14ac:dyDescent="0.25">
      <c r="A299" t="s">
        <v>5195</v>
      </c>
      <c r="B299" t="str">
        <f ca="1">r_choice(Customers!$A$2:$A$301)</f>
        <v>cust-118</v>
      </c>
      <c r="C299" s="12">
        <f t="shared" ca="1" si="8"/>
        <v>43985</v>
      </c>
      <c r="D299" t="str">
        <f ca="1">r_choice(Games!$A$2:$A$41)</f>
        <v>Prod-014</v>
      </c>
      <c r="E299" t="str">
        <f ca="1">r_choice(Branches!$A$2:$A$21)</f>
        <v>br-001</v>
      </c>
      <c r="F299" t="str">
        <f ca="1">r_choice(Employees!$A$2:$A$101)</f>
        <v>empl_069</v>
      </c>
      <c r="I299" t="str">
        <f t="shared" ca="1" si="9"/>
        <v>insert into Local_sales values ('Sale-292', 'cust-224', '06-Jun-2020', 'Prod-007', 'br-001', 'empl_067');</v>
      </c>
    </row>
    <row r="300" spans="1:9" x14ac:dyDescent="0.25">
      <c r="A300" t="s">
        <v>5196</v>
      </c>
      <c r="B300" t="str">
        <f ca="1">r_choice(Customers!$A$2:$A$301)</f>
        <v>cust-032</v>
      </c>
      <c r="C300" s="12">
        <f t="shared" ca="1" si="8"/>
        <v>44143</v>
      </c>
      <c r="D300" t="str">
        <f ca="1">r_choice(Games!$A$2:$A$41)</f>
        <v>Prod-020</v>
      </c>
      <c r="E300" t="str">
        <f ca="1">r_choice(Branches!$A$2:$A$21)</f>
        <v>br-007</v>
      </c>
      <c r="F300" t="str">
        <f ca="1">r_choice(Employees!$A$2:$A$101)</f>
        <v>empl_078</v>
      </c>
      <c r="I300" t="str">
        <f t="shared" ca="1" si="9"/>
        <v>insert into Local_sales values ('Sale-293', 'cust-047', '24-Feb-2020', 'Prod-038', 'br-011', 'empl_088');</v>
      </c>
    </row>
    <row r="301" spans="1:9" x14ac:dyDescent="0.25">
      <c r="A301" t="s">
        <v>5197</v>
      </c>
      <c r="B301" t="str">
        <f ca="1">r_choice(Customers!$A$2:$A$301)</f>
        <v>cust-007</v>
      </c>
      <c r="C301" s="12">
        <f t="shared" ca="1" si="8"/>
        <v>43872</v>
      </c>
      <c r="D301" t="str">
        <f ca="1">r_choice(Games!$A$2:$A$41)</f>
        <v>Prod-010</v>
      </c>
      <c r="E301" t="str">
        <f ca="1">r_choice(Branches!$A$2:$A$21)</f>
        <v>br-017</v>
      </c>
      <c r="F301" t="str">
        <f ca="1">r_choice(Employees!$A$2:$A$101)</f>
        <v>empl_001</v>
      </c>
      <c r="I301" t="str">
        <f t="shared" ca="1" si="9"/>
        <v>insert into Local_sales values ('Sale-294', 'cust-236', '29-Oct-2020', 'Prod-016', 'br-003', 'empl_036');</v>
      </c>
    </row>
    <row r="302" spans="1:9" x14ac:dyDescent="0.25">
      <c r="A302" t="s">
        <v>5198</v>
      </c>
      <c r="B302" t="str">
        <f ca="1">r_choice(Customers!$A$2:$A$301)</f>
        <v>cust-008</v>
      </c>
      <c r="C302" s="12">
        <f t="shared" ca="1" si="8"/>
        <v>44115</v>
      </c>
      <c r="D302" t="str">
        <f ca="1">r_choice(Games!$A$2:$A$41)</f>
        <v>Prod-031</v>
      </c>
      <c r="E302" t="str">
        <f ca="1">r_choice(Branches!$A$2:$A$21)</f>
        <v>br-011</v>
      </c>
      <c r="F302" t="str">
        <f ca="1">r_choice(Employees!$A$2:$A$101)</f>
        <v>empl_018</v>
      </c>
      <c r="I302" t="str">
        <f t="shared" ca="1" si="9"/>
        <v>insert into Local_sales values ('Sale-295', 'cust-116', '15-Aug-2020', 'Prod-031', 'br-018', 'empl_018');</v>
      </c>
    </row>
    <row r="303" spans="1:9" x14ac:dyDescent="0.25">
      <c r="A303" t="s">
        <v>5199</v>
      </c>
      <c r="B303" t="str">
        <f ca="1">r_choice(Customers!$A$2:$A$301)</f>
        <v>cust-026</v>
      </c>
      <c r="C303" s="12">
        <f t="shared" ca="1" si="8"/>
        <v>43885</v>
      </c>
      <c r="D303" t="str">
        <f ca="1">r_choice(Games!$A$2:$A$41)</f>
        <v>Prod-006</v>
      </c>
      <c r="E303" t="str">
        <f ca="1">r_choice(Branches!$A$2:$A$21)</f>
        <v>br-002</v>
      </c>
      <c r="F303" t="str">
        <f ca="1">r_choice(Employees!$A$2:$A$101)</f>
        <v>empl_090</v>
      </c>
      <c r="I303" t="str">
        <f t="shared" ca="1" si="9"/>
        <v>insert into Local_sales values ('Sale-296', 'cust-109', '10-Jul-2020', 'Prod-035', 'br-006', 'empl_068');</v>
      </c>
    </row>
    <row r="304" spans="1:9" x14ac:dyDescent="0.25">
      <c r="A304" t="s">
        <v>5200</v>
      </c>
      <c r="B304" t="str">
        <f ca="1">r_choice(Customers!$A$2:$A$301)</f>
        <v>cust-071</v>
      </c>
      <c r="C304" s="12">
        <f t="shared" ca="1" si="8"/>
        <v>44114</v>
      </c>
      <c r="D304" t="str">
        <f ca="1">r_choice(Games!$A$2:$A$41)</f>
        <v>Prod-039</v>
      </c>
      <c r="E304" t="str">
        <f ca="1">r_choice(Branches!$A$2:$A$21)</f>
        <v>br-013</v>
      </c>
      <c r="F304" t="str">
        <f ca="1">r_choice(Employees!$A$2:$A$101)</f>
        <v>empl_004</v>
      </c>
      <c r="I304" t="str">
        <f t="shared" ca="1" si="9"/>
        <v>insert into Local_sales values ('Sale-297', 'cust-256', '24-Dec-2020', 'Prod-023', 'br-013', 'empl_020');</v>
      </c>
    </row>
    <row r="305" spans="1:9" x14ac:dyDescent="0.25">
      <c r="A305" t="s">
        <v>5201</v>
      </c>
      <c r="B305" t="str">
        <f ca="1">r_choice(Customers!$A$2:$A$301)</f>
        <v>cust-214</v>
      </c>
      <c r="C305" s="12">
        <f t="shared" ca="1" si="8"/>
        <v>44070</v>
      </c>
      <c r="D305" t="str">
        <f ca="1">r_choice(Games!$A$2:$A$41)</f>
        <v>Prod-030</v>
      </c>
      <c r="E305" t="str">
        <f ca="1">r_choice(Branches!$A$2:$A$21)</f>
        <v>br-015</v>
      </c>
      <c r="F305" t="str">
        <f ca="1">r_choice(Employees!$A$2:$A$101)</f>
        <v>empl_056</v>
      </c>
      <c r="I305" t="str">
        <f t="shared" ca="1" si="9"/>
        <v>insert into Local_sales values ('Sale-298', 'cust-118', '03-Jun-2020', 'Prod-014', 'br-001', 'empl_069');</v>
      </c>
    </row>
    <row r="306" spans="1:9" x14ac:dyDescent="0.25">
      <c r="A306" t="s">
        <v>5202</v>
      </c>
      <c r="B306" t="str">
        <f ca="1">r_choice(Customers!$A$2:$A$301)</f>
        <v>cust-280</v>
      </c>
      <c r="C306" s="12">
        <f t="shared" ca="1" si="8"/>
        <v>44026</v>
      </c>
      <c r="D306" t="str">
        <f ca="1">r_choice(Games!$A$2:$A$41)</f>
        <v>Prod-026</v>
      </c>
      <c r="E306" t="str">
        <f ca="1">r_choice(Branches!$A$2:$A$21)</f>
        <v>br-001</v>
      </c>
      <c r="F306" t="str">
        <f ca="1">r_choice(Employees!$A$2:$A$101)</f>
        <v>empl_036</v>
      </c>
      <c r="I306" t="str">
        <f t="shared" ca="1" si="9"/>
        <v>insert into Local_sales values ('Sale-299', 'cust-032', '08-Nov-2020', 'Prod-020', 'br-007', 'empl_078');</v>
      </c>
    </row>
    <row r="307" spans="1:9" x14ac:dyDescent="0.25">
      <c r="A307" t="s">
        <v>5203</v>
      </c>
      <c r="B307" t="str">
        <f ca="1">r_choice(Customers!$A$2:$A$301)</f>
        <v>cust-237</v>
      </c>
      <c r="C307" s="12">
        <f t="shared" ca="1" si="8"/>
        <v>44072</v>
      </c>
      <c r="D307" t="str">
        <f ca="1">r_choice(Games!$A$2:$A$41)</f>
        <v>Prod-013</v>
      </c>
      <c r="E307" t="str">
        <f ca="1">r_choice(Branches!$A$2:$A$21)</f>
        <v>br-005</v>
      </c>
      <c r="F307" t="str">
        <f ca="1">r_choice(Employees!$A$2:$A$101)</f>
        <v>empl_062</v>
      </c>
      <c r="I307" t="str">
        <f t="shared" ca="1" si="9"/>
        <v>insert into Local_sales values ('Sale-300', 'cust-007', '11-Feb-2020', 'Prod-010', 'br-017', 'empl_001');</v>
      </c>
    </row>
    <row r="308" spans="1:9" x14ac:dyDescent="0.25">
      <c r="A308" t="s">
        <v>5204</v>
      </c>
      <c r="B308" t="str">
        <f ca="1">r_choice(Customers!$A$2:$A$301)</f>
        <v>cust-030</v>
      </c>
      <c r="C308" s="12">
        <f t="shared" ca="1" si="8"/>
        <v>43946</v>
      </c>
      <c r="D308" t="str">
        <f ca="1">r_choice(Games!$A$2:$A$41)</f>
        <v>Prod-033</v>
      </c>
      <c r="E308" t="str">
        <f ca="1">r_choice(Branches!$A$2:$A$21)</f>
        <v>br-001</v>
      </c>
      <c r="F308" t="str">
        <f ca="1">r_choice(Employees!$A$2:$A$101)</f>
        <v>empl_082</v>
      </c>
      <c r="I308" t="str">
        <f t="shared" ca="1" si="9"/>
        <v>insert into Local_sales values ('Sale-301', 'cust-008', '11-Oct-2020', 'Prod-031', 'br-011', 'empl_018');</v>
      </c>
    </row>
    <row r="309" spans="1:9" x14ac:dyDescent="0.25">
      <c r="A309" t="s">
        <v>5205</v>
      </c>
      <c r="B309" t="str">
        <f ca="1">r_choice(Customers!$A$2:$A$301)</f>
        <v>cust-052</v>
      </c>
      <c r="C309" s="12">
        <f t="shared" ca="1" si="8"/>
        <v>44126</v>
      </c>
      <c r="D309" t="str">
        <f ca="1">r_choice(Games!$A$2:$A$41)</f>
        <v>Prod-012</v>
      </c>
      <c r="E309" t="str">
        <f ca="1">r_choice(Branches!$A$2:$A$21)</f>
        <v>br-016</v>
      </c>
      <c r="F309" t="str">
        <f ca="1">r_choice(Employees!$A$2:$A$101)</f>
        <v>empl_067</v>
      </c>
      <c r="I309" t="str">
        <f t="shared" ca="1" si="9"/>
        <v>insert into Local_sales values ('Sale-302', 'cust-026', '24-Feb-2020', 'Prod-006', 'br-002', 'empl_090');</v>
      </c>
    </row>
    <row r="310" spans="1:9" x14ac:dyDescent="0.25">
      <c r="A310" t="s">
        <v>5206</v>
      </c>
      <c r="B310" t="str">
        <f ca="1">r_choice(Customers!$A$2:$A$301)</f>
        <v>cust-175</v>
      </c>
      <c r="C310" s="12">
        <f t="shared" ca="1" si="8"/>
        <v>44113</v>
      </c>
      <c r="D310" t="str">
        <f ca="1">r_choice(Games!$A$2:$A$41)</f>
        <v>Prod-009</v>
      </c>
      <c r="E310" t="str">
        <f ca="1">r_choice(Branches!$A$2:$A$21)</f>
        <v>br-017</v>
      </c>
      <c r="F310" t="str">
        <f ca="1">r_choice(Employees!$A$2:$A$101)</f>
        <v>empl_070</v>
      </c>
      <c r="I310" t="str">
        <f t="shared" ca="1" si="9"/>
        <v>insert into Local_sales values ('Sale-303', 'cust-071', '10-Oct-2020', 'Prod-039', 'br-013', 'empl_004');</v>
      </c>
    </row>
    <row r="311" spans="1:9" x14ac:dyDescent="0.25">
      <c r="A311" t="s">
        <v>5207</v>
      </c>
      <c r="B311" t="str">
        <f ca="1">r_choice(Customers!$A$2:$A$301)</f>
        <v>cust-220</v>
      </c>
      <c r="C311" s="12">
        <f t="shared" ca="1" si="8"/>
        <v>43975</v>
      </c>
      <c r="D311" t="str">
        <f ca="1">r_choice(Games!$A$2:$A$41)</f>
        <v>Prod-001</v>
      </c>
      <c r="E311" t="str">
        <f ca="1">r_choice(Branches!$A$2:$A$21)</f>
        <v>br-014</v>
      </c>
      <c r="F311" t="str">
        <f ca="1">r_choice(Employees!$A$2:$A$101)</f>
        <v>empl_008</v>
      </c>
      <c r="I311" t="str">
        <f t="shared" ca="1" si="9"/>
        <v>insert into Local_sales values ('Sale-304', 'cust-214', '27-Aug-2020', 'Prod-030', 'br-015', 'empl_056');</v>
      </c>
    </row>
    <row r="312" spans="1:9" x14ac:dyDescent="0.25">
      <c r="A312" t="s">
        <v>5208</v>
      </c>
      <c r="B312" t="str">
        <f ca="1">r_choice(Customers!$A$2:$A$301)</f>
        <v>cust-228</v>
      </c>
      <c r="C312" s="12">
        <f t="shared" ca="1" si="8"/>
        <v>43910</v>
      </c>
      <c r="D312" t="str">
        <f ca="1">r_choice(Games!$A$2:$A$41)</f>
        <v>Prod-015</v>
      </c>
      <c r="E312" t="str">
        <f ca="1">r_choice(Branches!$A$2:$A$21)</f>
        <v>br-007</v>
      </c>
      <c r="F312" t="str">
        <f ca="1">r_choice(Employees!$A$2:$A$101)</f>
        <v>empl_097</v>
      </c>
      <c r="I312" t="str">
        <f t="shared" ca="1" si="9"/>
        <v>insert into Local_sales values ('Sale-305', 'cust-280', '14-Jul-2020', 'Prod-026', 'br-001', 'empl_036');</v>
      </c>
    </row>
    <row r="313" spans="1:9" x14ac:dyDescent="0.25">
      <c r="A313" t="s">
        <v>5209</v>
      </c>
      <c r="B313" t="str">
        <f ca="1">r_choice(Customers!$A$2:$A$301)</f>
        <v>cust-019</v>
      </c>
      <c r="C313" s="12">
        <f t="shared" ca="1" si="8"/>
        <v>44194</v>
      </c>
      <c r="D313" t="str">
        <f ca="1">r_choice(Games!$A$2:$A$41)</f>
        <v>Prod-014</v>
      </c>
      <c r="E313" t="str">
        <f ca="1">r_choice(Branches!$A$2:$A$21)</f>
        <v>br-012</v>
      </c>
      <c r="F313" t="str">
        <f ca="1">r_choice(Employees!$A$2:$A$101)</f>
        <v>empl_045</v>
      </c>
      <c r="I313" t="str">
        <f t="shared" ca="1" si="9"/>
        <v>insert into Local_sales values ('Sale-306', 'cust-237', '29-Aug-2020', 'Prod-013', 'br-005', 'empl_062');</v>
      </c>
    </row>
    <row r="314" spans="1:9" x14ac:dyDescent="0.25">
      <c r="A314" t="s">
        <v>5210</v>
      </c>
      <c r="B314" t="str">
        <f ca="1">r_choice(Customers!$A$2:$A$301)</f>
        <v>cust-273</v>
      </c>
      <c r="C314" s="12">
        <f t="shared" ca="1" si="8"/>
        <v>44169</v>
      </c>
      <c r="D314" t="str">
        <f ca="1">r_choice(Games!$A$2:$A$41)</f>
        <v>Prod-025</v>
      </c>
      <c r="E314" t="str">
        <f ca="1">r_choice(Branches!$A$2:$A$21)</f>
        <v>br-013</v>
      </c>
      <c r="F314" t="str">
        <f ca="1">r_choice(Employees!$A$2:$A$101)</f>
        <v>empl_072</v>
      </c>
      <c r="I314" t="str">
        <f t="shared" ca="1" si="9"/>
        <v>insert into Local_sales values ('Sale-307', 'cust-030', '25-Apr-2020', 'Prod-033', 'br-001', 'empl_082');</v>
      </c>
    </row>
    <row r="315" spans="1:9" x14ac:dyDescent="0.25">
      <c r="A315" t="s">
        <v>5211</v>
      </c>
      <c r="B315" t="str">
        <f ca="1">r_choice(Customers!$A$2:$A$301)</f>
        <v>cust-108</v>
      </c>
      <c r="C315" s="12">
        <f t="shared" ca="1" si="8"/>
        <v>43884</v>
      </c>
      <c r="D315" t="str">
        <f ca="1">r_choice(Games!$A$2:$A$41)</f>
        <v>Prod-040</v>
      </c>
      <c r="E315" t="str">
        <f ca="1">r_choice(Branches!$A$2:$A$21)</f>
        <v>br-014</v>
      </c>
      <c r="F315" t="str">
        <f ca="1">r_choice(Employees!$A$2:$A$101)</f>
        <v>empl_002</v>
      </c>
      <c r="I315" t="str">
        <f t="shared" ca="1" si="9"/>
        <v>insert into Local_sales values ('Sale-308', 'cust-052', '22-Oct-2020', 'Prod-012', 'br-016', 'empl_067');</v>
      </c>
    </row>
    <row r="316" spans="1:9" x14ac:dyDescent="0.25">
      <c r="A316" t="s">
        <v>5212</v>
      </c>
      <c r="B316" t="str">
        <f ca="1">r_choice(Customers!$A$2:$A$301)</f>
        <v>cust-228</v>
      </c>
      <c r="C316" s="12">
        <f t="shared" ca="1" si="8"/>
        <v>43835</v>
      </c>
      <c r="D316" t="str">
        <f ca="1">r_choice(Games!$A$2:$A$41)</f>
        <v>Prod-030</v>
      </c>
      <c r="E316" t="str">
        <f ca="1">r_choice(Branches!$A$2:$A$21)</f>
        <v>br-013</v>
      </c>
      <c r="F316" t="str">
        <f ca="1">r_choice(Employees!$A$2:$A$101)</f>
        <v>empl_091</v>
      </c>
      <c r="I316" t="str">
        <f t="shared" ca="1" si="9"/>
        <v>insert into Local_sales values ('Sale-309', 'cust-175', '09-Oct-2020', 'Prod-009', 'br-017', 'empl_070');</v>
      </c>
    </row>
    <row r="317" spans="1:9" x14ac:dyDescent="0.25">
      <c r="A317" t="s">
        <v>5213</v>
      </c>
      <c r="B317" t="str">
        <f ca="1">r_choice(Customers!$A$2:$A$301)</f>
        <v>cust-228</v>
      </c>
      <c r="C317" s="12">
        <f t="shared" ca="1" si="8"/>
        <v>43928</v>
      </c>
      <c r="D317" t="str">
        <f ca="1">r_choice(Games!$A$2:$A$41)</f>
        <v>Prod-023</v>
      </c>
      <c r="E317" t="str">
        <f ca="1">r_choice(Branches!$A$2:$A$21)</f>
        <v>br-004</v>
      </c>
      <c r="F317" t="str">
        <f ca="1">r_choice(Employees!$A$2:$A$101)</f>
        <v>empl_004</v>
      </c>
      <c r="I317" t="str">
        <f t="shared" ca="1" si="9"/>
        <v>insert into Local_sales values ('Sale-310', 'cust-220', '24-May-2020', 'Prod-001', 'br-014', 'empl_008');</v>
      </c>
    </row>
    <row r="318" spans="1:9" x14ac:dyDescent="0.25">
      <c r="A318" t="s">
        <v>5214</v>
      </c>
      <c r="B318" t="str">
        <f ca="1">r_choice(Customers!$A$2:$A$301)</f>
        <v>cust-294</v>
      </c>
      <c r="C318" s="12">
        <f t="shared" ca="1" si="8"/>
        <v>43912</v>
      </c>
      <c r="D318" t="str">
        <f ca="1">r_choice(Games!$A$2:$A$41)</f>
        <v>Prod-027</v>
      </c>
      <c r="E318" t="str">
        <f ca="1">r_choice(Branches!$A$2:$A$21)</f>
        <v>br-007</v>
      </c>
      <c r="F318" t="str">
        <f ca="1">r_choice(Employees!$A$2:$A$101)</f>
        <v>empl_004</v>
      </c>
      <c r="I318" t="str">
        <f t="shared" ca="1" si="9"/>
        <v>insert into Local_sales values ('Sale-311', 'cust-228', '20-Mar-2020', 'Prod-015', 'br-007', 'empl_097');</v>
      </c>
    </row>
    <row r="319" spans="1:9" x14ac:dyDescent="0.25">
      <c r="A319" t="s">
        <v>5215</v>
      </c>
      <c r="B319" t="str">
        <f ca="1">r_choice(Customers!$A$2:$A$301)</f>
        <v>cust-269</v>
      </c>
      <c r="C319" s="12">
        <f t="shared" ca="1" si="8"/>
        <v>43974</v>
      </c>
      <c r="D319" t="str">
        <f ca="1">r_choice(Games!$A$2:$A$41)</f>
        <v>Prod-030</v>
      </c>
      <c r="E319" t="str">
        <f ca="1">r_choice(Branches!$A$2:$A$21)</f>
        <v>br-016</v>
      </c>
      <c r="F319" t="str">
        <f ca="1">r_choice(Employees!$A$2:$A$101)</f>
        <v>empl_015</v>
      </c>
      <c r="I319" t="str">
        <f t="shared" ca="1" si="9"/>
        <v>insert into Local_sales values ('Sale-312', 'cust-019', '29-Dec-2020', 'Prod-014', 'br-012', 'empl_045');</v>
      </c>
    </row>
    <row r="320" spans="1:9" x14ac:dyDescent="0.25">
      <c r="A320" t="s">
        <v>5216</v>
      </c>
      <c r="B320" t="str">
        <f ca="1">r_choice(Customers!$A$2:$A$301)</f>
        <v>cust-183</v>
      </c>
      <c r="C320" s="12">
        <f t="shared" ca="1" si="8"/>
        <v>44037</v>
      </c>
      <c r="D320" t="str">
        <f ca="1">r_choice(Games!$A$2:$A$41)</f>
        <v>Prod-004</v>
      </c>
      <c r="E320" t="str">
        <f ca="1">r_choice(Branches!$A$2:$A$21)</f>
        <v>br-015</v>
      </c>
      <c r="F320" t="str">
        <f ca="1">r_choice(Employees!$A$2:$A$101)</f>
        <v>empl_004</v>
      </c>
      <c r="I320" t="str">
        <f t="shared" ca="1" si="9"/>
        <v>insert into Local_sales values ('Sale-313', 'cust-273', '04-Dec-2020', 'Prod-025', 'br-013', 'empl_072');</v>
      </c>
    </row>
    <row r="321" spans="1:9" x14ac:dyDescent="0.25">
      <c r="A321" t="s">
        <v>5217</v>
      </c>
      <c r="B321" t="str">
        <f ca="1">r_choice(Customers!$A$2:$A$301)</f>
        <v>cust-187</v>
      </c>
      <c r="C321" s="12">
        <f t="shared" ca="1" si="8"/>
        <v>43995</v>
      </c>
      <c r="D321" t="str">
        <f ca="1">r_choice(Games!$A$2:$A$41)</f>
        <v>Prod-036</v>
      </c>
      <c r="E321" t="str">
        <f ca="1">r_choice(Branches!$A$2:$A$21)</f>
        <v>br-011</v>
      </c>
      <c r="F321" t="str">
        <f ca="1">r_choice(Employees!$A$2:$A$101)</f>
        <v>empl_016</v>
      </c>
      <c r="I321" t="str">
        <f t="shared" ca="1" si="9"/>
        <v>insert into Local_sales values ('Sale-314', 'cust-108', '23-Feb-2020', 'Prod-040', 'br-014', 'empl_002');</v>
      </c>
    </row>
    <row r="322" spans="1:9" x14ac:dyDescent="0.25">
      <c r="A322" t="s">
        <v>5218</v>
      </c>
      <c r="B322" t="str">
        <f ca="1">r_choice(Customers!$A$2:$A$301)</f>
        <v>cust-083</v>
      </c>
      <c r="C322" s="12">
        <f t="shared" ca="1" si="8"/>
        <v>44144</v>
      </c>
      <c r="D322" t="str">
        <f ca="1">r_choice(Games!$A$2:$A$41)</f>
        <v>Prod-022</v>
      </c>
      <c r="E322" t="str">
        <f ca="1">r_choice(Branches!$A$2:$A$21)</f>
        <v>br-019</v>
      </c>
      <c r="F322" t="str">
        <f ca="1">r_choice(Employees!$A$2:$A$101)</f>
        <v>empl_019</v>
      </c>
      <c r="I322" t="str">
        <f t="shared" ca="1" si="9"/>
        <v>insert into Local_sales values ('Sale-315', 'cust-228', '05-Jan-2020', 'Prod-030', 'br-013', 'empl_091');</v>
      </c>
    </row>
    <row r="323" spans="1:9" x14ac:dyDescent="0.25">
      <c r="A323" t="s">
        <v>5219</v>
      </c>
      <c r="B323" t="str">
        <f ca="1">r_choice(Customers!$A$2:$A$301)</f>
        <v>cust-275</v>
      </c>
      <c r="C323" s="12">
        <f t="shared" ref="C323:C386" ca="1" si="10">r_date(2020,1,2020,12)</f>
        <v>43928</v>
      </c>
      <c r="D323" t="str">
        <f ca="1">r_choice(Games!$A$2:$A$41)</f>
        <v>Prod-002</v>
      </c>
      <c r="E323" t="str">
        <f ca="1">r_choice(Branches!$A$2:$A$21)</f>
        <v>br-012</v>
      </c>
      <c r="F323" t="str">
        <f ca="1">r_choice(Employees!$A$2:$A$101)</f>
        <v>empl_070</v>
      </c>
      <c r="I323" t="str">
        <f t="shared" ca="1" si="9"/>
        <v>insert into Local_sales values ('Sale-316', 'cust-228', '07-Apr-2020', 'Prod-023', 'br-004', 'empl_004');</v>
      </c>
    </row>
    <row r="324" spans="1:9" x14ac:dyDescent="0.25">
      <c r="A324" t="s">
        <v>5220</v>
      </c>
      <c r="B324" t="str">
        <f ca="1">r_choice(Customers!$A$2:$A$301)</f>
        <v>cust-228</v>
      </c>
      <c r="C324" s="12">
        <f t="shared" ca="1" si="10"/>
        <v>44063</v>
      </c>
      <c r="D324" t="str">
        <f ca="1">r_choice(Games!$A$2:$A$41)</f>
        <v>Prod-026</v>
      </c>
      <c r="E324" t="str">
        <f ca="1">r_choice(Branches!$A$2:$A$21)</f>
        <v>br-015</v>
      </c>
      <c r="F324" t="str">
        <f ca="1">r_choice(Employees!$A$2:$A$101)</f>
        <v>empl_052</v>
      </c>
      <c r="I324" t="str">
        <f t="shared" ca="1" si="9"/>
        <v>insert into Local_sales values ('Sale-317', 'cust-294', '22-Mar-2020', 'Prod-027', 'br-007', 'empl_004');</v>
      </c>
    </row>
    <row r="325" spans="1:9" x14ac:dyDescent="0.25">
      <c r="A325" t="s">
        <v>5221</v>
      </c>
      <c r="B325" t="str">
        <f ca="1">r_choice(Customers!$A$2:$A$301)</f>
        <v>cust-286</v>
      </c>
      <c r="C325" s="12">
        <f t="shared" ca="1" si="10"/>
        <v>43839</v>
      </c>
      <c r="D325" t="str">
        <f ca="1">r_choice(Games!$A$2:$A$41)</f>
        <v>Prod-028</v>
      </c>
      <c r="E325" t="str">
        <f ca="1">r_choice(Branches!$A$2:$A$21)</f>
        <v>br-009</v>
      </c>
      <c r="F325" t="str">
        <f ca="1">r_choice(Employees!$A$2:$A$101)</f>
        <v>empl_046</v>
      </c>
      <c r="I325" t="str">
        <f t="shared" ca="1" si="9"/>
        <v>insert into Local_sales values ('Sale-318', 'cust-269', '23-May-2020', 'Prod-030', 'br-016', 'empl_015');</v>
      </c>
    </row>
    <row r="326" spans="1:9" x14ac:dyDescent="0.25">
      <c r="A326" t="s">
        <v>5222</v>
      </c>
      <c r="B326" t="str">
        <f ca="1">r_choice(Customers!$A$2:$A$301)</f>
        <v>cust-063</v>
      </c>
      <c r="C326" s="12">
        <f t="shared" ca="1" si="10"/>
        <v>44053</v>
      </c>
      <c r="D326" t="str">
        <f ca="1">r_choice(Games!$A$2:$A$41)</f>
        <v>Prod-029</v>
      </c>
      <c r="E326" t="str">
        <f ca="1">r_choice(Branches!$A$2:$A$21)</f>
        <v>br-013</v>
      </c>
      <c r="F326" t="str">
        <f ca="1">r_choice(Employees!$A$2:$A$101)</f>
        <v>empl_003</v>
      </c>
      <c r="I326" t="str">
        <f t="shared" ca="1" si="9"/>
        <v>insert into Local_sales values ('Sale-319', 'cust-183', '25-Jul-2020', 'Prod-004', 'br-015', 'empl_004');</v>
      </c>
    </row>
    <row r="327" spans="1:9" x14ac:dyDescent="0.25">
      <c r="A327" t="s">
        <v>5223</v>
      </c>
      <c r="B327" t="str">
        <f ca="1">r_choice(Customers!$A$2:$A$301)</f>
        <v>cust-261</v>
      </c>
      <c r="C327" s="12">
        <f t="shared" ca="1" si="10"/>
        <v>44119</v>
      </c>
      <c r="D327" t="str">
        <f ca="1">r_choice(Games!$A$2:$A$41)</f>
        <v>Prod-011</v>
      </c>
      <c r="E327" t="str">
        <f ca="1">r_choice(Branches!$A$2:$A$21)</f>
        <v>br-018</v>
      </c>
      <c r="F327" t="str">
        <f ca="1">r_choice(Employees!$A$2:$A$101)</f>
        <v>empl_053</v>
      </c>
      <c r="I327" t="str">
        <f t="shared" ca="1" si="9"/>
        <v>insert into Local_sales values ('Sale-320', 'cust-187', '13-Jun-2020', 'Prod-036', 'br-011', 'empl_016');</v>
      </c>
    </row>
    <row r="328" spans="1:9" x14ac:dyDescent="0.25">
      <c r="A328" t="s">
        <v>5224</v>
      </c>
      <c r="B328" t="str">
        <f ca="1">r_choice(Customers!$A$2:$A$301)</f>
        <v>cust-268</v>
      </c>
      <c r="C328" s="12">
        <f t="shared" ca="1" si="10"/>
        <v>44150</v>
      </c>
      <c r="D328" t="str">
        <f ca="1">r_choice(Games!$A$2:$A$41)</f>
        <v>Prod-036</v>
      </c>
      <c r="E328" t="str">
        <f ca="1">r_choice(Branches!$A$2:$A$21)</f>
        <v>br-009</v>
      </c>
      <c r="F328" t="str">
        <f ca="1">r_choice(Employees!$A$2:$A$101)</f>
        <v>empl_084</v>
      </c>
      <c r="I328" t="str">
        <f t="shared" ref="I328:I391" ca="1" si="11">insertinto(A322:F322,$I$1:$J$6,"Local_sales")</f>
        <v>insert into Local_sales values ('Sale-321', 'cust-083', '09-Nov-2020', 'Prod-022', 'br-019', 'empl_019');</v>
      </c>
    </row>
    <row r="329" spans="1:9" x14ac:dyDescent="0.25">
      <c r="A329" t="s">
        <v>5225</v>
      </c>
      <c r="B329" t="str">
        <f ca="1">r_choice(Customers!$A$2:$A$301)</f>
        <v>cust-047</v>
      </c>
      <c r="C329" s="12">
        <f t="shared" ca="1" si="10"/>
        <v>43919</v>
      </c>
      <c r="D329" t="str">
        <f ca="1">r_choice(Games!$A$2:$A$41)</f>
        <v>Prod-033</v>
      </c>
      <c r="E329" t="str">
        <f ca="1">r_choice(Branches!$A$2:$A$21)</f>
        <v>br-014</v>
      </c>
      <c r="F329" t="str">
        <f ca="1">r_choice(Employees!$A$2:$A$101)</f>
        <v>empl_077</v>
      </c>
      <c r="I329" t="str">
        <f t="shared" ca="1" si="11"/>
        <v>insert into Local_sales values ('Sale-322', 'cust-275', '07-Apr-2020', 'Prod-002', 'br-012', 'empl_070');</v>
      </c>
    </row>
    <row r="330" spans="1:9" x14ac:dyDescent="0.25">
      <c r="A330" t="s">
        <v>5226</v>
      </c>
      <c r="B330" t="str">
        <f ca="1">r_choice(Customers!$A$2:$A$301)</f>
        <v>cust-190</v>
      </c>
      <c r="C330" s="12">
        <f t="shared" ca="1" si="10"/>
        <v>44147</v>
      </c>
      <c r="D330" t="str">
        <f ca="1">r_choice(Games!$A$2:$A$41)</f>
        <v>Prod-037</v>
      </c>
      <c r="E330" t="str">
        <f ca="1">r_choice(Branches!$A$2:$A$21)</f>
        <v>br-018</v>
      </c>
      <c r="F330" t="str">
        <f ca="1">r_choice(Employees!$A$2:$A$101)</f>
        <v>empl_061</v>
      </c>
      <c r="I330" t="str">
        <f t="shared" ca="1" si="11"/>
        <v>insert into Local_sales values ('Sale-323', 'cust-228', '20-Aug-2020', 'Prod-026', 'br-015', 'empl_052');</v>
      </c>
    </row>
    <row r="331" spans="1:9" x14ac:dyDescent="0.25">
      <c r="A331" t="s">
        <v>5227</v>
      </c>
      <c r="B331" t="str">
        <f ca="1">r_choice(Customers!$A$2:$A$301)</f>
        <v>cust-300</v>
      </c>
      <c r="C331" s="12">
        <f t="shared" ca="1" si="10"/>
        <v>44103</v>
      </c>
      <c r="D331" t="str">
        <f ca="1">r_choice(Games!$A$2:$A$41)</f>
        <v>Prod-001</v>
      </c>
      <c r="E331" t="str">
        <f ca="1">r_choice(Branches!$A$2:$A$21)</f>
        <v>br-018</v>
      </c>
      <c r="F331" t="str">
        <f ca="1">r_choice(Employees!$A$2:$A$101)</f>
        <v>empl_020</v>
      </c>
      <c r="I331" t="str">
        <f t="shared" ca="1" si="11"/>
        <v>insert into Local_sales values ('Sale-324', 'cust-286', '09-Jan-2020', 'Prod-028', 'br-009', 'empl_046');</v>
      </c>
    </row>
    <row r="332" spans="1:9" x14ac:dyDescent="0.25">
      <c r="A332" t="s">
        <v>5228</v>
      </c>
      <c r="B332" t="str">
        <f ca="1">r_choice(Customers!$A$2:$A$301)</f>
        <v>cust-052</v>
      </c>
      <c r="C332" s="12">
        <f t="shared" ca="1" si="10"/>
        <v>43908</v>
      </c>
      <c r="D332" t="str">
        <f ca="1">r_choice(Games!$A$2:$A$41)</f>
        <v>Prod-022</v>
      </c>
      <c r="E332" t="str">
        <f ca="1">r_choice(Branches!$A$2:$A$21)</f>
        <v>br-016</v>
      </c>
      <c r="F332" t="str">
        <f ca="1">r_choice(Employees!$A$2:$A$101)</f>
        <v>empl_011</v>
      </c>
      <c r="I332" t="str">
        <f t="shared" ca="1" si="11"/>
        <v>insert into Local_sales values ('Sale-325', 'cust-063', '10-Aug-2020', 'Prod-029', 'br-013', 'empl_003');</v>
      </c>
    </row>
    <row r="333" spans="1:9" x14ac:dyDescent="0.25">
      <c r="A333" t="s">
        <v>5229</v>
      </c>
      <c r="B333" t="str">
        <f ca="1">r_choice(Customers!$A$2:$A$301)</f>
        <v>cust-154</v>
      </c>
      <c r="C333" s="12">
        <f t="shared" ca="1" si="10"/>
        <v>43893</v>
      </c>
      <c r="D333" t="str">
        <f ca="1">r_choice(Games!$A$2:$A$41)</f>
        <v>Prod-035</v>
      </c>
      <c r="E333" t="str">
        <f ca="1">r_choice(Branches!$A$2:$A$21)</f>
        <v>br-016</v>
      </c>
      <c r="F333" t="str">
        <f ca="1">r_choice(Employees!$A$2:$A$101)</f>
        <v>empl_074</v>
      </c>
      <c r="I333" t="str">
        <f t="shared" ca="1" si="11"/>
        <v>insert into Local_sales values ('Sale-326', 'cust-261', '15-Oct-2020', 'Prod-011', 'br-018', 'empl_053');</v>
      </c>
    </row>
    <row r="334" spans="1:9" x14ac:dyDescent="0.25">
      <c r="A334" t="s">
        <v>5230</v>
      </c>
      <c r="B334" t="str">
        <f ca="1">r_choice(Customers!$A$2:$A$301)</f>
        <v>cust-253</v>
      </c>
      <c r="C334" s="12">
        <f t="shared" ca="1" si="10"/>
        <v>44063</v>
      </c>
      <c r="D334" t="str">
        <f ca="1">r_choice(Games!$A$2:$A$41)</f>
        <v>Prod-011</v>
      </c>
      <c r="E334" t="str">
        <f ca="1">r_choice(Branches!$A$2:$A$21)</f>
        <v>br-005</v>
      </c>
      <c r="F334" t="str">
        <f ca="1">r_choice(Employees!$A$2:$A$101)</f>
        <v>empl_065</v>
      </c>
      <c r="I334" t="str">
        <f t="shared" ca="1" si="11"/>
        <v>insert into Local_sales values ('Sale-327', 'cust-268', '15-Nov-2020', 'Prod-036', 'br-009', 'empl_084');</v>
      </c>
    </row>
    <row r="335" spans="1:9" x14ac:dyDescent="0.25">
      <c r="A335" t="s">
        <v>5231</v>
      </c>
      <c r="B335" t="str">
        <f ca="1">r_choice(Customers!$A$2:$A$301)</f>
        <v>cust-011</v>
      </c>
      <c r="C335" s="12">
        <f t="shared" ca="1" si="10"/>
        <v>44048</v>
      </c>
      <c r="D335" t="str">
        <f ca="1">r_choice(Games!$A$2:$A$41)</f>
        <v>Prod-020</v>
      </c>
      <c r="E335" t="str">
        <f ca="1">r_choice(Branches!$A$2:$A$21)</f>
        <v>br-001</v>
      </c>
      <c r="F335" t="str">
        <f ca="1">r_choice(Employees!$A$2:$A$101)</f>
        <v>empl_029</v>
      </c>
      <c r="I335" t="str">
        <f t="shared" ca="1" si="11"/>
        <v>insert into Local_sales values ('Sale-328', 'cust-047', '29-Mar-2020', 'Prod-033', 'br-014', 'empl_077');</v>
      </c>
    </row>
    <row r="336" spans="1:9" x14ac:dyDescent="0.25">
      <c r="A336" t="s">
        <v>5232</v>
      </c>
      <c r="B336" t="str">
        <f ca="1">r_choice(Customers!$A$2:$A$301)</f>
        <v>cust-233</v>
      </c>
      <c r="C336" s="12">
        <f t="shared" ca="1" si="10"/>
        <v>44072</v>
      </c>
      <c r="D336" t="str">
        <f ca="1">r_choice(Games!$A$2:$A$41)</f>
        <v>Prod-001</v>
      </c>
      <c r="E336" t="str">
        <f ca="1">r_choice(Branches!$A$2:$A$21)</f>
        <v>br-010</v>
      </c>
      <c r="F336" t="str">
        <f ca="1">r_choice(Employees!$A$2:$A$101)</f>
        <v>empl_093</v>
      </c>
      <c r="I336" t="str">
        <f t="shared" ca="1" si="11"/>
        <v>insert into Local_sales values ('Sale-329', 'cust-190', '12-Nov-2020', 'Prod-037', 'br-018', 'empl_061');</v>
      </c>
    </row>
    <row r="337" spans="1:9" x14ac:dyDescent="0.25">
      <c r="A337" t="s">
        <v>5233</v>
      </c>
      <c r="B337" t="str">
        <f ca="1">r_choice(Customers!$A$2:$A$301)</f>
        <v>cust-220</v>
      </c>
      <c r="C337" s="12">
        <f t="shared" ca="1" si="10"/>
        <v>43924</v>
      </c>
      <c r="D337" t="str">
        <f ca="1">r_choice(Games!$A$2:$A$41)</f>
        <v>Prod-008</v>
      </c>
      <c r="E337" t="str">
        <f ca="1">r_choice(Branches!$A$2:$A$21)</f>
        <v>br-014</v>
      </c>
      <c r="F337" t="str">
        <f ca="1">r_choice(Employees!$A$2:$A$101)</f>
        <v>empl_059</v>
      </c>
      <c r="I337" t="str">
        <f t="shared" ca="1" si="11"/>
        <v>insert into Local_sales values ('Sale-330', 'cust-300', '29-Sep-2020', 'Prod-001', 'br-018', 'empl_020');</v>
      </c>
    </row>
    <row r="338" spans="1:9" x14ac:dyDescent="0.25">
      <c r="A338" t="s">
        <v>5234</v>
      </c>
      <c r="B338" t="str">
        <f ca="1">r_choice(Customers!$A$2:$A$301)</f>
        <v>cust-086</v>
      </c>
      <c r="C338" s="12">
        <f t="shared" ca="1" si="10"/>
        <v>44063</v>
      </c>
      <c r="D338" t="str">
        <f ca="1">r_choice(Games!$A$2:$A$41)</f>
        <v>Prod-032</v>
      </c>
      <c r="E338" t="str">
        <f ca="1">r_choice(Branches!$A$2:$A$21)</f>
        <v>br-009</v>
      </c>
      <c r="F338" t="str">
        <f ca="1">r_choice(Employees!$A$2:$A$101)</f>
        <v>empl_094</v>
      </c>
      <c r="I338" t="str">
        <f t="shared" ca="1" si="11"/>
        <v>insert into Local_sales values ('Sale-331', 'cust-052', '18-Mar-2020', 'Prod-022', 'br-016', 'empl_011');</v>
      </c>
    </row>
    <row r="339" spans="1:9" x14ac:dyDescent="0.25">
      <c r="A339" t="s">
        <v>5235</v>
      </c>
      <c r="B339" t="str">
        <f ca="1">r_choice(Customers!$A$2:$A$301)</f>
        <v>cust-242</v>
      </c>
      <c r="C339" s="12">
        <f t="shared" ca="1" si="10"/>
        <v>44081</v>
      </c>
      <c r="D339" t="str">
        <f ca="1">r_choice(Games!$A$2:$A$41)</f>
        <v>Prod-012</v>
      </c>
      <c r="E339" t="str">
        <f ca="1">r_choice(Branches!$A$2:$A$21)</f>
        <v>br-020</v>
      </c>
      <c r="F339" t="str">
        <f ca="1">r_choice(Employees!$A$2:$A$101)</f>
        <v>empl_085</v>
      </c>
      <c r="I339" t="str">
        <f t="shared" ca="1" si="11"/>
        <v>insert into Local_sales values ('Sale-332', 'cust-154', '03-Mar-2020', 'Prod-035', 'br-016', 'empl_074');</v>
      </c>
    </row>
    <row r="340" spans="1:9" x14ac:dyDescent="0.25">
      <c r="A340" t="s">
        <v>5236</v>
      </c>
      <c r="B340" t="str">
        <f ca="1">r_choice(Customers!$A$2:$A$301)</f>
        <v>cust-034</v>
      </c>
      <c r="C340" s="12">
        <f t="shared" ca="1" si="10"/>
        <v>44158</v>
      </c>
      <c r="D340" t="str">
        <f ca="1">r_choice(Games!$A$2:$A$41)</f>
        <v>Prod-006</v>
      </c>
      <c r="E340" t="str">
        <f ca="1">r_choice(Branches!$A$2:$A$21)</f>
        <v>br-012</v>
      </c>
      <c r="F340" t="str">
        <f ca="1">r_choice(Employees!$A$2:$A$101)</f>
        <v>empl_048</v>
      </c>
      <c r="I340" t="str">
        <f t="shared" ca="1" si="11"/>
        <v>insert into Local_sales values ('Sale-333', 'cust-253', '20-Aug-2020', 'Prod-011', 'br-005', 'empl_065');</v>
      </c>
    </row>
    <row r="341" spans="1:9" x14ac:dyDescent="0.25">
      <c r="A341" t="s">
        <v>5237</v>
      </c>
      <c r="B341" t="str">
        <f ca="1">r_choice(Customers!$A$2:$A$301)</f>
        <v>cust-117</v>
      </c>
      <c r="C341" s="12">
        <f t="shared" ca="1" si="10"/>
        <v>44079</v>
      </c>
      <c r="D341" t="str">
        <f ca="1">r_choice(Games!$A$2:$A$41)</f>
        <v>Prod-010</v>
      </c>
      <c r="E341" t="str">
        <f ca="1">r_choice(Branches!$A$2:$A$21)</f>
        <v>br-008</v>
      </c>
      <c r="F341" t="str">
        <f ca="1">r_choice(Employees!$A$2:$A$101)</f>
        <v>empl_008</v>
      </c>
      <c r="I341" t="str">
        <f t="shared" ca="1" si="11"/>
        <v>insert into Local_sales values ('Sale-334', 'cust-011', '05-Aug-2020', 'Prod-020', 'br-001', 'empl_029');</v>
      </c>
    </row>
    <row r="342" spans="1:9" x14ac:dyDescent="0.25">
      <c r="A342" t="s">
        <v>5238</v>
      </c>
      <c r="B342" t="str">
        <f ca="1">r_choice(Customers!$A$2:$A$301)</f>
        <v>cust-250</v>
      </c>
      <c r="C342" s="12">
        <f t="shared" ca="1" si="10"/>
        <v>44189</v>
      </c>
      <c r="D342" t="str">
        <f ca="1">r_choice(Games!$A$2:$A$41)</f>
        <v>Prod-037</v>
      </c>
      <c r="E342" t="str">
        <f ca="1">r_choice(Branches!$A$2:$A$21)</f>
        <v>br-002</v>
      </c>
      <c r="F342" t="str">
        <f ca="1">r_choice(Employees!$A$2:$A$101)</f>
        <v>empl_071</v>
      </c>
      <c r="I342" t="str">
        <f t="shared" ca="1" si="11"/>
        <v>insert into Local_sales values ('Sale-335', 'cust-233', '29-Aug-2020', 'Prod-001', 'br-010', 'empl_093');</v>
      </c>
    </row>
    <row r="343" spans="1:9" x14ac:dyDescent="0.25">
      <c r="A343" t="s">
        <v>5239</v>
      </c>
      <c r="B343" t="str">
        <f ca="1">r_choice(Customers!$A$2:$A$301)</f>
        <v>cust-257</v>
      </c>
      <c r="C343" s="12">
        <f t="shared" ca="1" si="10"/>
        <v>44057</v>
      </c>
      <c r="D343" t="str">
        <f ca="1">r_choice(Games!$A$2:$A$41)</f>
        <v>Prod-018</v>
      </c>
      <c r="E343" t="str">
        <f ca="1">r_choice(Branches!$A$2:$A$21)</f>
        <v>br-009</v>
      </c>
      <c r="F343" t="str">
        <f ca="1">r_choice(Employees!$A$2:$A$101)</f>
        <v>empl_041</v>
      </c>
      <c r="I343" t="str">
        <f t="shared" ca="1" si="11"/>
        <v>insert into Local_sales values ('Sale-336', 'cust-220', '03-Apr-2020', 'Prod-008', 'br-014', 'empl_059');</v>
      </c>
    </row>
    <row r="344" spans="1:9" x14ac:dyDescent="0.25">
      <c r="A344" t="s">
        <v>5240</v>
      </c>
      <c r="B344" t="str">
        <f ca="1">r_choice(Customers!$A$2:$A$301)</f>
        <v>cust-284</v>
      </c>
      <c r="C344" s="12">
        <f t="shared" ca="1" si="10"/>
        <v>43908</v>
      </c>
      <c r="D344" t="str">
        <f ca="1">r_choice(Games!$A$2:$A$41)</f>
        <v>Prod-039</v>
      </c>
      <c r="E344" t="str">
        <f ca="1">r_choice(Branches!$A$2:$A$21)</f>
        <v>br-014</v>
      </c>
      <c r="F344" t="str">
        <f ca="1">r_choice(Employees!$A$2:$A$101)</f>
        <v>empl_082</v>
      </c>
      <c r="I344" t="str">
        <f t="shared" ca="1" si="11"/>
        <v>insert into Local_sales values ('Sale-337', 'cust-086', '20-Aug-2020', 'Prod-032', 'br-009', 'empl_094');</v>
      </c>
    </row>
    <row r="345" spans="1:9" x14ac:dyDescent="0.25">
      <c r="A345" t="s">
        <v>5241</v>
      </c>
      <c r="B345" t="str">
        <f ca="1">r_choice(Customers!$A$2:$A$301)</f>
        <v>cust-174</v>
      </c>
      <c r="C345" s="12">
        <f t="shared" ca="1" si="10"/>
        <v>44033</v>
      </c>
      <c r="D345" t="str">
        <f ca="1">r_choice(Games!$A$2:$A$41)</f>
        <v>Prod-015</v>
      </c>
      <c r="E345" t="str">
        <f ca="1">r_choice(Branches!$A$2:$A$21)</f>
        <v>br-016</v>
      </c>
      <c r="F345" t="str">
        <f ca="1">r_choice(Employees!$A$2:$A$101)</f>
        <v>empl_035</v>
      </c>
      <c r="I345" t="str">
        <f t="shared" ca="1" si="11"/>
        <v>insert into Local_sales values ('Sale-338', 'cust-242', '07-Sep-2020', 'Prod-012', 'br-020', 'empl_085');</v>
      </c>
    </row>
    <row r="346" spans="1:9" x14ac:dyDescent="0.25">
      <c r="A346" t="s">
        <v>5242</v>
      </c>
      <c r="B346" t="str">
        <f ca="1">r_choice(Customers!$A$2:$A$301)</f>
        <v>cust-199</v>
      </c>
      <c r="C346" s="12">
        <f t="shared" ca="1" si="10"/>
        <v>44030</v>
      </c>
      <c r="D346" t="str">
        <f ca="1">r_choice(Games!$A$2:$A$41)</f>
        <v>Prod-007</v>
      </c>
      <c r="E346" t="str">
        <f ca="1">r_choice(Branches!$A$2:$A$21)</f>
        <v>br-005</v>
      </c>
      <c r="F346" t="str">
        <f ca="1">r_choice(Employees!$A$2:$A$101)</f>
        <v>empl_062</v>
      </c>
      <c r="I346" t="str">
        <f t="shared" ca="1" si="11"/>
        <v>insert into Local_sales values ('Sale-339', 'cust-034', '23-Nov-2020', 'Prod-006', 'br-012', 'empl_048');</v>
      </c>
    </row>
    <row r="347" spans="1:9" x14ac:dyDescent="0.25">
      <c r="A347" t="s">
        <v>5243</v>
      </c>
      <c r="B347" t="str">
        <f ca="1">r_choice(Customers!$A$2:$A$301)</f>
        <v>cust-209</v>
      </c>
      <c r="C347" s="12">
        <f t="shared" ca="1" si="10"/>
        <v>43982</v>
      </c>
      <c r="D347" t="str">
        <f ca="1">r_choice(Games!$A$2:$A$41)</f>
        <v>Prod-007</v>
      </c>
      <c r="E347" t="str">
        <f ca="1">r_choice(Branches!$A$2:$A$21)</f>
        <v>br-003</v>
      </c>
      <c r="F347" t="str">
        <f ca="1">r_choice(Employees!$A$2:$A$101)</f>
        <v>empl_018</v>
      </c>
      <c r="I347" t="str">
        <f t="shared" ca="1" si="11"/>
        <v>insert into Local_sales values ('Sale-340', 'cust-117', '05-Sep-2020', 'Prod-010', 'br-008', 'empl_008');</v>
      </c>
    </row>
    <row r="348" spans="1:9" x14ac:dyDescent="0.25">
      <c r="A348" t="s">
        <v>5244</v>
      </c>
      <c r="B348" t="str">
        <f ca="1">r_choice(Customers!$A$2:$A$301)</f>
        <v>cust-193</v>
      </c>
      <c r="C348" s="12">
        <f t="shared" ca="1" si="10"/>
        <v>43916</v>
      </c>
      <c r="D348" t="str">
        <f ca="1">r_choice(Games!$A$2:$A$41)</f>
        <v>Prod-020</v>
      </c>
      <c r="E348" t="str">
        <f ca="1">r_choice(Branches!$A$2:$A$21)</f>
        <v>br-020</v>
      </c>
      <c r="F348" t="str">
        <f ca="1">r_choice(Employees!$A$2:$A$101)</f>
        <v>empl_028</v>
      </c>
      <c r="I348" t="str">
        <f t="shared" ca="1" si="11"/>
        <v>insert into Local_sales values ('Sale-341', 'cust-250', '24-Dec-2020', 'Prod-037', 'br-002', 'empl_071');</v>
      </c>
    </row>
    <row r="349" spans="1:9" x14ac:dyDescent="0.25">
      <c r="A349" t="s">
        <v>5245</v>
      </c>
      <c r="B349" t="str">
        <f ca="1">r_choice(Customers!$A$2:$A$301)</f>
        <v>cust-128</v>
      </c>
      <c r="C349" s="12">
        <f t="shared" ca="1" si="10"/>
        <v>44113</v>
      </c>
      <c r="D349" t="str">
        <f ca="1">r_choice(Games!$A$2:$A$41)</f>
        <v>Prod-037</v>
      </c>
      <c r="E349" t="str">
        <f ca="1">r_choice(Branches!$A$2:$A$21)</f>
        <v>br-011</v>
      </c>
      <c r="F349" t="str">
        <f ca="1">r_choice(Employees!$A$2:$A$101)</f>
        <v>empl_083</v>
      </c>
      <c r="I349" t="str">
        <f t="shared" ca="1" si="11"/>
        <v>insert into Local_sales values ('Sale-342', 'cust-257', '14-Aug-2020', 'Prod-018', 'br-009', 'empl_041');</v>
      </c>
    </row>
    <row r="350" spans="1:9" x14ac:dyDescent="0.25">
      <c r="A350" t="s">
        <v>5246</v>
      </c>
      <c r="B350" t="str">
        <f ca="1">r_choice(Customers!$A$2:$A$301)</f>
        <v>cust-195</v>
      </c>
      <c r="C350" s="12">
        <f t="shared" ca="1" si="10"/>
        <v>44065</v>
      </c>
      <c r="D350" t="str">
        <f ca="1">r_choice(Games!$A$2:$A$41)</f>
        <v>Prod-003</v>
      </c>
      <c r="E350" t="str">
        <f ca="1">r_choice(Branches!$A$2:$A$21)</f>
        <v>br-010</v>
      </c>
      <c r="F350" t="str">
        <f ca="1">r_choice(Employees!$A$2:$A$101)</f>
        <v>empl_036</v>
      </c>
      <c r="I350" t="str">
        <f t="shared" ca="1" si="11"/>
        <v>insert into Local_sales values ('Sale-343', 'cust-284', '18-Mar-2020', 'Prod-039', 'br-014', 'empl_082');</v>
      </c>
    </row>
    <row r="351" spans="1:9" x14ac:dyDescent="0.25">
      <c r="A351" t="s">
        <v>5247</v>
      </c>
      <c r="B351" t="str">
        <f ca="1">r_choice(Customers!$A$2:$A$301)</f>
        <v>cust-148</v>
      </c>
      <c r="C351" s="12">
        <f t="shared" ca="1" si="10"/>
        <v>44053</v>
      </c>
      <c r="D351" t="str">
        <f ca="1">r_choice(Games!$A$2:$A$41)</f>
        <v>Prod-015</v>
      </c>
      <c r="E351" t="str">
        <f ca="1">r_choice(Branches!$A$2:$A$21)</f>
        <v>br-019</v>
      </c>
      <c r="F351" t="str">
        <f ca="1">r_choice(Employees!$A$2:$A$101)</f>
        <v>empl_067</v>
      </c>
      <c r="I351" t="str">
        <f t="shared" ca="1" si="11"/>
        <v>insert into Local_sales values ('Sale-344', 'cust-174', '21-Jul-2020', 'Prod-015', 'br-016', 'empl_035');</v>
      </c>
    </row>
    <row r="352" spans="1:9" x14ac:dyDescent="0.25">
      <c r="A352" t="s">
        <v>5248</v>
      </c>
      <c r="B352" t="str">
        <f ca="1">r_choice(Customers!$A$2:$A$301)</f>
        <v>cust-189</v>
      </c>
      <c r="C352" s="12">
        <f t="shared" ca="1" si="10"/>
        <v>43991</v>
      </c>
      <c r="D352" t="str">
        <f ca="1">r_choice(Games!$A$2:$A$41)</f>
        <v>Prod-005</v>
      </c>
      <c r="E352" t="str">
        <f ca="1">r_choice(Branches!$A$2:$A$21)</f>
        <v>br-001</v>
      </c>
      <c r="F352" t="str">
        <f ca="1">r_choice(Employees!$A$2:$A$101)</f>
        <v>empl_070</v>
      </c>
      <c r="I352" t="str">
        <f t="shared" ca="1" si="11"/>
        <v>insert into Local_sales values ('Sale-345', 'cust-199', '18-Jul-2020', 'Prod-007', 'br-005', 'empl_062');</v>
      </c>
    </row>
    <row r="353" spans="1:9" x14ac:dyDescent="0.25">
      <c r="A353" t="s">
        <v>5249</v>
      </c>
      <c r="B353" t="str">
        <f ca="1">r_choice(Customers!$A$2:$A$301)</f>
        <v>cust-103</v>
      </c>
      <c r="C353" s="12">
        <f t="shared" ca="1" si="10"/>
        <v>44021</v>
      </c>
      <c r="D353" t="str">
        <f ca="1">r_choice(Games!$A$2:$A$41)</f>
        <v>Prod-038</v>
      </c>
      <c r="E353" t="str">
        <f ca="1">r_choice(Branches!$A$2:$A$21)</f>
        <v>br-006</v>
      </c>
      <c r="F353" t="str">
        <f ca="1">r_choice(Employees!$A$2:$A$101)</f>
        <v>empl_034</v>
      </c>
      <c r="I353" t="str">
        <f t="shared" ca="1" si="11"/>
        <v>insert into Local_sales values ('Sale-346', 'cust-209', '31-May-2020', 'Prod-007', 'br-003', 'empl_018');</v>
      </c>
    </row>
    <row r="354" spans="1:9" x14ac:dyDescent="0.25">
      <c r="A354" t="s">
        <v>5250</v>
      </c>
      <c r="B354" t="str">
        <f ca="1">r_choice(Customers!$A$2:$A$301)</f>
        <v>cust-135</v>
      </c>
      <c r="C354" s="12">
        <f t="shared" ca="1" si="10"/>
        <v>43929</v>
      </c>
      <c r="D354" t="str">
        <f ca="1">r_choice(Games!$A$2:$A$41)</f>
        <v>Prod-004</v>
      </c>
      <c r="E354" t="str">
        <f ca="1">r_choice(Branches!$A$2:$A$21)</f>
        <v>br-020</v>
      </c>
      <c r="F354" t="str">
        <f ca="1">r_choice(Employees!$A$2:$A$101)</f>
        <v>empl_018</v>
      </c>
      <c r="I354" t="str">
        <f t="shared" ca="1" si="11"/>
        <v>insert into Local_sales values ('Sale-347', 'cust-193', '26-Mar-2020', 'Prod-020', 'br-020', 'empl_028');</v>
      </c>
    </row>
    <row r="355" spans="1:9" x14ac:dyDescent="0.25">
      <c r="A355" t="s">
        <v>5251</v>
      </c>
      <c r="B355" t="str">
        <f ca="1">r_choice(Customers!$A$2:$A$301)</f>
        <v>cust-224</v>
      </c>
      <c r="C355" s="12">
        <f t="shared" ca="1" si="10"/>
        <v>44127</v>
      </c>
      <c r="D355" t="str">
        <f ca="1">r_choice(Games!$A$2:$A$41)</f>
        <v>Prod-034</v>
      </c>
      <c r="E355" t="str">
        <f ca="1">r_choice(Branches!$A$2:$A$21)</f>
        <v>br-005</v>
      </c>
      <c r="F355" t="str">
        <f ca="1">r_choice(Employees!$A$2:$A$101)</f>
        <v>empl_074</v>
      </c>
      <c r="I355" t="str">
        <f t="shared" ca="1" si="11"/>
        <v>insert into Local_sales values ('Sale-348', 'cust-128', '09-Oct-2020', 'Prod-037', 'br-011', 'empl_083');</v>
      </c>
    </row>
    <row r="356" spans="1:9" x14ac:dyDescent="0.25">
      <c r="A356" t="s">
        <v>5252</v>
      </c>
      <c r="B356" t="str">
        <f ca="1">r_choice(Customers!$A$2:$A$301)</f>
        <v>cust-198</v>
      </c>
      <c r="C356" s="12">
        <f t="shared" ca="1" si="10"/>
        <v>44115</v>
      </c>
      <c r="D356" t="str">
        <f ca="1">r_choice(Games!$A$2:$A$41)</f>
        <v>Prod-002</v>
      </c>
      <c r="E356" t="str">
        <f ca="1">r_choice(Branches!$A$2:$A$21)</f>
        <v>br-012</v>
      </c>
      <c r="F356" t="str">
        <f ca="1">r_choice(Employees!$A$2:$A$101)</f>
        <v>empl_058</v>
      </c>
      <c r="I356" t="str">
        <f t="shared" ca="1" si="11"/>
        <v>insert into Local_sales values ('Sale-349', 'cust-195', '22-Aug-2020', 'Prod-003', 'br-010', 'empl_036');</v>
      </c>
    </row>
    <row r="357" spans="1:9" x14ac:dyDescent="0.25">
      <c r="A357" t="s">
        <v>5253</v>
      </c>
      <c r="B357" t="str">
        <f ca="1">r_choice(Customers!$A$2:$A$301)</f>
        <v>cust-287</v>
      </c>
      <c r="C357" s="12">
        <f t="shared" ca="1" si="10"/>
        <v>44139</v>
      </c>
      <c r="D357" t="str">
        <f ca="1">r_choice(Games!$A$2:$A$41)</f>
        <v>Prod-011</v>
      </c>
      <c r="E357" t="str">
        <f ca="1">r_choice(Branches!$A$2:$A$21)</f>
        <v>br-005</v>
      </c>
      <c r="F357" t="str">
        <f ca="1">r_choice(Employees!$A$2:$A$101)</f>
        <v>empl_038</v>
      </c>
      <c r="I357" t="str">
        <f t="shared" ca="1" si="11"/>
        <v>insert into Local_sales values ('Sale-350', 'cust-148', '10-Aug-2020', 'Prod-015', 'br-019', 'empl_067');</v>
      </c>
    </row>
    <row r="358" spans="1:9" x14ac:dyDescent="0.25">
      <c r="A358" t="s">
        <v>5254</v>
      </c>
      <c r="B358" t="str">
        <f ca="1">r_choice(Customers!$A$2:$A$301)</f>
        <v>cust-001</v>
      </c>
      <c r="C358" s="12">
        <f t="shared" ca="1" si="10"/>
        <v>44035</v>
      </c>
      <c r="D358" t="str">
        <f ca="1">r_choice(Games!$A$2:$A$41)</f>
        <v>Prod-033</v>
      </c>
      <c r="E358" t="str">
        <f ca="1">r_choice(Branches!$A$2:$A$21)</f>
        <v>br-015</v>
      </c>
      <c r="F358" t="str">
        <f ca="1">r_choice(Employees!$A$2:$A$101)</f>
        <v>empl_019</v>
      </c>
      <c r="I358" t="str">
        <f t="shared" ca="1" si="11"/>
        <v>insert into Local_sales values ('Sale-351', 'cust-189', '09-Jun-2020', 'Prod-005', 'br-001', 'empl_070');</v>
      </c>
    </row>
    <row r="359" spans="1:9" x14ac:dyDescent="0.25">
      <c r="A359" t="s">
        <v>5255</v>
      </c>
      <c r="B359" t="str">
        <f ca="1">r_choice(Customers!$A$2:$A$301)</f>
        <v>cust-122</v>
      </c>
      <c r="C359" s="12">
        <f t="shared" ca="1" si="10"/>
        <v>43956</v>
      </c>
      <c r="D359" t="str">
        <f ca="1">r_choice(Games!$A$2:$A$41)</f>
        <v>Prod-032</v>
      </c>
      <c r="E359" t="str">
        <f ca="1">r_choice(Branches!$A$2:$A$21)</f>
        <v>br-019</v>
      </c>
      <c r="F359" t="str">
        <f ca="1">r_choice(Employees!$A$2:$A$101)</f>
        <v>empl_072</v>
      </c>
      <c r="I359" t="str">
        <f t="shared" ca="1" si="11"/>
        <v>insert into Local_sales values ('Sale-352', 'cust-103', '09-Jul-2020', 'Prod-038', 'br-006', 'empl_034');</v>
      </c>
    </row>
    <row r="360" spans="1:9" x14ac:dyDescent="0.25">
      <c r="A360" t="s">
        <v>5256</v>
      </c>
      <c r="B360" t="str">
        <f ca="1">r_choice(Customers!$A$2:$A$301)</f>
        <v>cust-145</v>
      </c>
      <c r="C360" s="12">
        <f t="shared" ca="1" si="10"/>
        <v>43864</v>
      </c>
      <c r="D360" t="str">
        <f ca="1">r_choice(Games!$A$2:$A$41)</f>
        <v>Prod-012</v>
      </c>
      <c r="E360" t="str">
        <f ca="1">r_choice(Branches!$A$2:$A$21)</f>
        <v>br-019</v>
      </c>
      <c r="F360" t="str">
        <f ca="1">r_choice(Employees!$A$2:$A$101)</f>
        <v>empl_029</v>
      </c>
      <c r="I360" t="str">
        <f t="shared" ca="1" si="11"/>
        <v>insert into Local_sales values ('Sale-353', 'cust-135', '08-Apr-2020', 'Prod-004', 'br-020', 'empl_018');</v>
      </c>
    </row>
    <row r="361" spans="1:9" x14ac:dyDescent="0.25">
      <c r="A361" t="s">
        <v>5257</v>
      </c>
      <c r="B361" t="str">
        <f ca="1">r_choice(Customers!$A$2:$A$301)</f>
        <v>cust-167</v>
      </c>
      <c r="C361" s="12">
        <f t="shared" ca="1" si="10"/>
        <v>43962</v>
      </c>
      <c r="D361" t="str">
        <f ca="1">r_choice(Games!$A$2:$A$41)</f>
        <v>Prod-017</v>
      </c>
      <c r="E361" t="str">
        <f ca="1">r_choice(Branches!$A$2:$A$21)</f>
        <v>br-002</v>
      </c>
      <c r="F361" t="str">
        <f ca="1">r_choice(Employees!$A$2:$A$101)</f>
        <v>empl_079</v>
      </c>
      <c r="I361" t="str">
        <f t="shared" ca="1" si="11"/>
        <v>insert into Local_sales values ('Sale-354', 'cust-224', '23-Oct-2020', 'Prod-034', 'br-005', 'empl_074');</v>
      </c>
    </row>
    <row r="362" spans="1:9" x14ac:dyDescent="0.25">
      <c r="A362" t="s">
        <v>5258</v>
      </c>
      <c r="B362" t="str">
        <f ca="1">r_choice(Customers!$A$2:$A$301)</f>
        <v>cust-019</v>
      </c>
      <c r="C362" s="12">
        <f t="shared" ca="1" si="10"/>
        <v>44152</v>
      </c>
      <c r="D362" t="str">
        <f ca="1">r_choice(Games!$A$2:$A$41)</f>
        <v>Prod-023</v>
      </c>
      <c r="E362" t="str">
        <f ca="1">r_choice(Branches!$A$2:$A$21)</f>
        <v>br-002</v>
      </c>
      <c r="F362" t="str">
        <f ca="1">r_choice(Employees!$A$2:$A$101)</f>
        <v>empl_063</v>
      </c>
      <c r="I362" t="str">
        <f t="shared" ca="1" si="11"/>
        <v>insert into Local_sales values ('Sale-355', 'cust-198', '11-Oct-2020', 'Prod-002', 'br-012', 'empl_058');</v>
      </c>
    </row>
    <row r="363" spans="1:9" x14ac:dyDescent="0.25">
      <c r="A363" t="s">
        <v>5259</v>
      </c>
      <c r="B363" t="str">
        <f ca="1">r_choice(Customers!$A$2:$A$301)</f>
        <v>cust-149</v>
      </c>
      <c r="C363" s="12">
        <f t="shared" ca="1" si="10"/>
        <v>43986</v>
      </c>
      <c r="D363" t="str">
        <f ca="1">r_choice(Games!$A$2:$A$41)</f>
        <v>Prod-038</v>
      </c>
      <c r="E363" t="str">
        <f ca="1">r_choice(Branches!$A$2:$A$21)</f>
        <v>br-007</v>
      </c>
      <c r="F363" t="str">
        <f ca="1">r_choice(Employees!$A$2:$A$101)</f>
        <v>empl_010</v>
      </c>
      <c r="I363" t="str">
        <f t="shared" ca="1" si="11"/>
        <v>insert into Local_sales values ('Sale-356', 'cust-287', '04-Nov-2020', 'Prod-011', 'br-005', 'empl_038');</v>
      </c>
    </row>
    <row r="364" spans="1:9" x14ac:dyDescent="0.25">
      <c r="A364" t="s">
        <v>5260</v>
      </c>
      <c r="B364" t="str">
        <f ca="1">r_choice(Customers!$A$2:$A$301)</f>
        <v>cust-230</v>
      </c>
      <c r="C364" s="12">
        <f t="shared" ca="1" si="10"/>
        <v>44181</v>
      </c>
      <c r="D364" t="str">
        <f ca="1">r_choice(Games!$A$2:$A$41)</f>
        <v>Prod-026</v>
      </c>
      <c r="E364" t="str">
        <f ca="1">r_choice(Branches!$A$2:$A$21)</f>
        <v>br-019</v>
      </c>
      <c r="F364" t="str">
        <f ca="1">r_choice(Employees!$A$2:$A$101)</f>
        <v>empl_031</v>
      </c>
      <c r="I364" t="str">
        <f t="shared" ca="1" si="11"/>
        <v>insert into Local_sales values ('Sale-357', 'cust-001', '23-Jul-2020', 'Prod-033', 'br-015', 'empl_019');</v>
      </c>
    </row>
    <row r="365" spans="1:9" x14ac:dyDescent="0.25">
      <c r="A365" t="s">
        <v>5261</v>
      </c>
      <c r="B365" t="str">
        <f ca="1">r_choice(Customers!$A$2:$A$301)</f>
        <v>cust-200</v>
      </c>
      <c r="C365" s="12">
        <f t="shared" ca="1" si="10"/>
        <v>43912</v>
      </c>
      <c r="D365" t="str">
        <f ca="1">r_choice(Games!$A$2:$A$41)</f>
        <v>Prod-038</v>
      </c>
      <c r="E365" t="str">
        <f ca="1">r_choice(Branches!$A$2:$A$21)</f>
        <v>br-005</v>
      </c>
      <c r="F365" t="str">
        <f ca="1">r_choice(Employees!$A$2:$A$101)</f>
        <v>empl_039</v>
      </c>
      <c r="I365" t="str">
        <f t="shared" ca="1" si="11"/>
        <v>insert into Local_sales values ('Sale-358', 'cust-122', '05-May-2020', 'Prod-032', 'br-019', 'empl_072');</v>
      </c>
    </row>
    <row r="366" spans="1:9" x14ac:dyDescent="0.25">
      <c r="A366" t="s">
        <v>5262</v>
      </c>
      <c r="B366" t="str">
        <f ca="1">r_choice(Customers!$A$2:$A$301)</f>
        <v>cust-131</v>
      </c>
      <c r="C366" s="12">
        <f t="shared" ca="1" si="10"/>
        <v>44104</v>
      </c>
      <c r="D366" t="str">
        <f ca="1">r_choice(Games!$A$2:$A$41)</f>
        <v>Prod-011</v>
      </c>
      <c r="E366" t="str">
        <f ca="1">r_choice(Branches!$A$2:$A$21)</f>
        <v>br-010</v>
      </c>
      <c r="F366" t="str">
        <f ca="1">r_choice(Employees!$A$2:$A$101)</f>
        <v>empl_075</v>
      </c>
      <c r="I366" t="str">
        <f t="shared" ca="1" si="11"/>
        <v>insert into Local_sales values ('Sale-359', 'cust-145', '03-Feb-2020', 'Prod-012', 'br-019', 'empl_029');</v>
      </c>
    </row>
    <row r="367" spans="1:9" x14ac:dyDescent="0.25">
      <c r="A367" t="s">
        <v>5263</v>
      </c>
      <c r="B367" t="str">
        <f ca="1">r_choice(Customers!$A$2:$A$301)</f>
        <v>cust-169</v>
      </c>
      <c r="C367" s="12">
        <f t="shared" ca="1" si="10"/>
        <v>44050</v>
      </c>
      <c r="D367" t="str">
        <f ca="1">r_choice(Games!$A$2:$A$41)</f>
        <v>Prod-005</v>
      </c>
      <c r="E367" t="str">
        <f ca="1">r_choice(Branches!$A$2:$A$21)</f>
        <v>br-010</v>
      </c>
      <c r="F367" t="str">
        <f ca="1">r_choice(Employees!$A$2:$A$101)</f>
        <v>empl_002</v>
      </c>
      <c r="I367" t="str">
        <f t="shared" ca="1" si="11"/>
        <v>insert into Local_sales values ('Sale-360', 'cust-167', '11-May-2020', 'Prod-017', 'br-002', 'empl_079');</v>
      </c>
    </row>
    <row r="368" spans="1:9" x14ac:dyDescent="0.25">
      <c r="A368" t="s">
        <v>5264</v>
      </c>
      <c r="B368" t="str">
        <f ca="1">r_choice(Customers!$A$2:$A$301)</f>
        <v>cust-063</v>
      </c>
      <c r="C368" s="12">
        <f t="shared" ca="1" si="10"/>
        <v>44013</v>
      </c>
      <c r="D368" t="str">
        <f ca="1">r_choice(Games!$A$2:$A$41)</f>
        <v>Prod-037</v>
      </c>
      <c r="E368" t="str">
        <f ca="1">r_choice(Branches!$A$2:$A$21)</f>
        <v>br-004</v>
      </c>
      <c r="F368" t="str">
        <f ca="1">r_choice(Employees!$A$2:$A$101)</f>
        <v>empl_100</v>
      </c>
      <c r="I368" t="str">
        <f t="shared" ca="1" si="11"/>
        <v>insert into Local_sales values ('Sale-361', 'cust-019', '17-Nov-2020', 'Prod-023', 'br-002', 'empl_063');</v>
      </c>
    </row>
    <row r="369" spans="1:9" x14ac:dyDescent="0.25">
      <c r="A369" t="s">
        <v>5265</v>
      </c>
      <c r="B369" t="str">
        <f ca="1">r_choice(Customers!$A$2:$A$301)</f>
        <v>cust-035</v>
      </c>
      <c r="C369" s="12">
        <f t="shared" ca="1" si="10"/>
        <v>44025</v>
      </c>
      <c r="D369" t="str">
        <f ca="1">r_choice(Games!$A$2:$A$41)</f>
        <v>Prod-002</v>
      </c>
      <c r="E369" t="str">
        <f ca="1">r_choice(Branches!$A$2:$A$21)</f>
        <v>br-020</v>
      </c>
      <c r="F369" t="str">
        <f ca="1">r_choice(Employees!$A$2:$A$101)</f>
        <v>empl_059</v>
      </c>
      <c r="I369" t="str">
        <f t="shared" ca="1" si="11"/>
        <v>insert into Local_sales values ('Sale-362', 'cust-149', '04-Jun-2020', 'Prod-038', 'br-007', 'empl_010');</v>
      </c>
    </row>
    <row r="370" spans="1:9" x14ac:dyDescent="0.25">
      <c r="A370" t="s">
        <v>5266</v>
      </c>
      <c r="B370" t="str">
        <f ca="1">r_choice(Customers!$A$2:$A$301)</f>
        <v>cust-257</v>
      </c>
      <c r="C370" s="12">
        <f t="shared" ca="1" si="10"/>
        <v>43928</v>
      </c>
      <c r="D370" t="str">
        <f ca="1">r_choice(Games!$A$2:$A$41)</f>
        <v>Prod-031</v>
      </c>
      <c r="E370" t="str">
        <f ca="1">r_choice(Branches!$A$2:$A$21)</f>
        <v>br-008</v>
      </c>
      <c r="F370" t="str">
        <f ca="1">r_choice(Employees!$A$2:$A$101)</f>
        <v>empl_082</v>
      </c>
      <c r="I370" t="str">
        <f t="shared" ca="1" si="11"/>
        <v>insert into Local_sales values ('Sale-363', 'cust-230', '16-Dec-2020', 'Prod-026', 'br-019', 'empl_031');</v>
      </c>
    </row>
    <row r="371" spans="1:9" x14ac:dyDescent="0.25">
      <c r="A371" t="s">
        <v>5267</v>
      </c>
      <c r="B371" t="str">
        <f ca="1">r_choice(Customers!$A$2:$A$301)</f>
        <v>cust-015</v>
      </c>
      <c r="C371" s="12">
        <f t="shared" ca="1" si="10"/>
        <v>44098</v>
      </c>
      <c r="D371" t="str">
        <f ca="1">r_choice(Games!$A$2:$A$41)</f>
        <v>Prod-015</v>
      </c>
      <c r="E371" t="str">
        <f ca="1">r_choice(Branches!$A$2:$A$21)</f>
        <v>br-003</v>
      </c>
      <c r="F371" t="str">
        <f ca="1">r_choice(Employees!$A$2:$A$101)</f>
        <v>empl_068</v>
      </c>
      <c r="I371" t="str">
        <f t="shared" ca="1" si="11"/>
        <v>insert into Local_sales values ('Sale-364', 'cust-200', '22-Mar-2020', 'Prod-038', 'br-005', 'empl_039');</v>
      </c>
    </row>
    <row r="372" spans="1:9" x14ac:dyDescent="0.25">
      <c r="A372" t="s">
        <v>5268</v>
      </c>
      <c r="B372" t="str">
        <f ca="1">r_choice(Customers!$A$2:$A$301)</f>
        <v>cust-140</v>
      </c>
      <c r="C372" s="12">
        <f t="shared" ca="1" si="10"/>
        <v>44029</v>
      </c>
      <c r="D372" t="str">
        <f ca="1">r_choice(Games!$A$2:$A$41)</f>
        <v>Prod-013</v>
      </c>
      <c r="E372" t="str">
        <f ca="1">r_choice(Branches!$A$2:$A$21)</f>
        <v>br-017</v>
      </c>
      <c r="F372" t="str">
        <f ca="1">r_choice(Employees!$A$2:$A$101)</f>
        <v>empl_096</v>
      </c>
      <c r="I372" t="str">
        <f t="shared" ca="1" si="11"/>
        <v>insert into Local_sales values ('Sale-365', 'cust-131', '30-Sep-2020', 'Prod-011', 'br-010', 'empl_075');</v>
      </c>
    </row>
    <row r="373" spans="1:9" x14ac:dyDescent="0.25">
      <c r="A373" t="s">
        <v>5269</v>
      </c>
      <c r="B373" t="str">
        <f ca="1">r_choice(Customers!$A$2:$A$301)</f>
        <v>cust-227</v>
      </c>
      <c r="C373" s="12">
        <f t="shared" ca="1" si="10"/>
        <v>43940</v>
      </c>
      <c r="D373" t="str">
        <f ca="1">r_choice(Games!$A$2:$A$41)</f>
        <v>Prod-015</v>
      </c>
      <c r="E373" t="str">
        <f ca="1">r_choice(Branches!$A$2:$A$21)</f>
        <v>br-007</v>
      </c>
      <c r="F373" t="str">
        <f ca="1">r_choice(Employees!$A$2:$A$101)</f>
        <v>empl_060</v>
      </c>
      <c r="I373" t="str">
        <f t="shared" ca="1" si="11"/>
        <v>insert into Local_sales values ('Sale-366', 'cust-169', '07-Aug-2020', 'Prod-005', 'br-010', 'empl_002');</v>
      </c>
    </row>
    <row r="374" spans="1:9" x14ac:dyDescent="0.25">
      <c r="A374" t="s">
        <v>5270</v>
      </c>
      <c r="B374" t="str">
        <f ca="1">r_choice(Customers!$A$2:$A$301)</f>
        <v>cust-036</v>
      </c>
      <c r="C374" s="12">
        <f t="shared" ca="1" si="10"/>
        <v>44107</v>
      </c>
      <c r="D374" t="str">
        <f ca="1">r_choice(Games!$A$2:$A$41)</f>
        <v>Prod-009</v>
      </c>
      <c r="E374" t="str">
        <f ca="1">r_choice(Branches!$A$2:$A$21)</f>
        <v>br-019</v>
      </c>
      <c r="F374" t="str">
        <f ca="1">r_choice(Employees!$A$2:$A$101)</f>
        <v>empl_080</v>
      </c>
      <c r="I374" t="str">
        <f t="shared" ca="1" si="11"/>
        <v>insert into Local_sales values ('Sale-367', 'cust-063', '01-Jul-2020', 'Prod-037', 'br-004', 'empl_100');</v>
      </c>
    </row>
    <row r="375" spans="1:9" x14ac:dyDescent="0.25">
      <c r="A375" t="s">
        <v>5271</v>
      </c>
      <c r="B375" t="str">
        <f ca="1">r_choice(Customers!$A$2:$A$301)</f>
        <v>cust-058</v>
      </c>
      <c r="C375" s="12">
        <f t="shared" ca="1" si="10"/>
        <v>43880</v>
      </c>
      <c r="D375" t="str">
        <f ca="1">r_choice(Games!$A$2:$A$41)</f>
        <v>Prod-022</v>
      </c>
      <c r="E375" t="str">
        <f ca="1">r_choice(Branches!$A$2:$A$21)</f>
        <v>br-002</v>
      </c>
      <c r="F375" t="str">
        <f ca="1">r_choice(Employees!$A$2:$A$101)</f>
        <v>empl_045</v>
      </c>
      <c r="I375" t="str">
        <f t="shared" ca="1" si="11"/>
        <v>insert into Local_sales values ('Sale-368', 'cust-035', '13-Jul-2020', 'Prod-002', 'br-020', 'empl_059');</v>
      </c>
    </row>
    <row r="376" spans="1:9" x14ac:dyDescent="0.25">
      <c r="A376" t="s">
        <v>5272</v>
      </c>
      <c r="B376" t="str">
        <f ca="1">r_choice(Customers!$A$2:$A$301)</f>
        <v>cust-193</v>
      </c>
      <c r="C376" s="12">
        <f t="shared" ca="1" si="10"/>
        <v>43910</v>
      </c>
      <c r="D376" t="str">
        <f ca="1">r_choice(Games!$A$2:$A$41)</f>
        <v>Prod-023</v>
      </c>
      <c r="E376" t="str">
        <f ca="1">r_choice(Branches!$A$2:$A$21)</f>
        <v>br-002</v>
      </c>
      <c r="F376" t="str">
        <f ca="1">r_choice(Employees!$A$2:$A$101)</f>
        <v>empl_078</v>
      </c>
      <c r="I376" t="str">
        <f t="shared" ca="1" si="11"/>
        <v>insert into Local_sales values ('Sale-369', 'cust-257', '07-Apr-2020', 'Prod-031', 'br-008', 'empl_082');</v>
      </c>
    </row>
    <row r="377" spans="1:9" x14ac:dyDescent="0.25">
      <c r="A377" t="s">
        <v>5273</v>
      </c>
      <c r="B377" t="str">
        <f ca="1">r_choice(Customers!$A$2:$A$301)</f>
        <v>cust-016</v>
      </c>
      <c r="C377" s="12">
        <f t="shared" ca="1" si="10"/>
        <v>44004</v>
      </c>
      <c r="D377" t="str">
        <f ca="1">r_choice(Games!$A$2:$A$41)</f>
        <v>Prod-016</v>
      </c>
      <c r="E377" t="str">
        <f ca="1">r_choice(Branches!$A$2:$A$21)</f>
        <v>br-012</v>
      </c>
      <c r="F377" t="str">
        <f ca="1">r_choice(Employees!$A$2:$A$101)</f>
        <v>empl_006</v>
      </c>
      <c r="I377" t="str">
        <f t="shared" ca="1" si="11"/>
        <v>insert into Local_sales values ('Sale-370', 'cust-015', '24-Sep-2020', 'Prod-015', 'br-003', 'empl_068');</v>
      </c>
    </row>
    <row r="378" spans="1:9" x14ac:dyDescent="0.25">
      <c r="A378" t="s">
        <v>5274</v>
      </c>
      <c r="B378" t="str">
        <f ca="1">r_choice(Customers!$A$2:$A$301)</f>
        <v>cust-137</v>
      </c>
      <c r="C378" s="12">
        <f t="shared" ca="1" si="10"/>
        <v>44149</v>
      </c>
      <c r="D378" t="str">
        <f ca="1">r_choice(Games!$A$2:$A$41)</f>
        <v>Prod-039</v>
      </c>
      <c r="E378" t="str">
        <f ca="1">r_choice(Branches!$A$2:$A$21)</f>
        <v>br-020</v>
      </c>
      <c r="F378" t="str">
        <f ca="1">r_choice(Employees!$A$2:$A$101)</f>
        <v>empl_062</v>
      </c>
      <c r="I378" t="str">
        <f t="shared" ca="1" si="11"/>
        <v>insert into Local_sales values ('Sale-371', 'cust-140', '17-Jul-2020', 'Prod-013', 'br-017', 'empl_096');</v>
      </c>
    </row>
    <row r="379" spans="1:9" x14ac:dyDescent="0.25">
      <c r="A379" t="s">
        <v>5275</v>
      </c>
      <c r="B379" t="str">
        <f ca="1">r_choice(Customers!$A$2:$A$301)</f>
        <v>cust-008</v>
      </c>
      <c r="C379" s="12">
        <f t="shared" ca="1" si="10"/>
        <v>43917</v>
      </c>
      <c r="D379" t="str">
        <f ca="1">r_choice(Games!$A$2:$A$41)</f>
        <v>Prod-009</v>
      </c>
      <c r="E379" t="str">
        <f ca="1">r_choice(Branches!$A$2:$A$21)</f>
        <v>br-019</v>
      </c>
      <c r="F379" t="str">
        <f ca="1">r_choice(Employees!$A$2:$A$101)</f>
        <v>empl_002</v>
      </c>
      <c r="I379" t="str">
        <f t="shared" ca="1" si="11"/>
        <v>insert into Local_sales values ('Sale-372', 'cust-227', '19-Apr-2020', 'Prod-015', 'br-007', 'empl_060');</v>
      </c>
    </row>
    <row r="380" spans="1:9" x14ac:dyDescent="0.25">
      <c r="A380" t="s">
        <v>5276</v>
      </c>
      <c r="B380" t="str">
        <f ca="1">r_choice(Customers!$A$2:$A$301)</f>
        <v>cust-161</v>
      </c>
      <c r="C380" s="12">
        <f t="shared" ca="1" si="10"/>
        <v>43854</v>
      </c>
      <c r="D380" t="str">
        <f ca="1">r_choice(Games!$A$2:$A$41)</f>
        <v>Prod-026</v>
      </c>
      <c r="E380" t="str">
        <f ca="1">r_choice(Branches!$A$2:$A$21)</f>
        <v>br-005</v>
      </c>
      <c r="F380" t="str">
        <f ca="1">r_choice(Employees!$A$2:$A$101)</f>
        <v>empl_094</v>
      </c>
      <c r="I380" t="str">
        <f t="shared" ca="1" si="11"/>
        <v>insert into Local_sales values ('Sale-373', 'cust-036', '03-Oct-2020', 'Prod-009', 'br-019', 'empl_080');</v>
      </c>
    </row>
    <row r="381" spans="1:9" x14ac:dyDescent="0.25">
      <c r="A381" t="s">
        <v>5277</v>
      </c>
      <c r="B381" t="str">
        <f ca="1">r_choice(Customers!$A$2:$A$301)</f>
        <v>cust-032</v>
      </c>
      <c r="C381" s="12">
        <f t="shared" ca="1" si="10"/>
        <v>44095</v>
      </c>
      <c r="D381" t="str">
        <f ca="1">r_choice(Games!$A$2:$A$41)</f>
        <v>Prod-038</v>
      </c>
      <c r="E381" t="str">
        <f ca="1">r_choice(Branches!$A$2:$A$21)</f>
        <v>br-020</v>
      </c>
      <c r="F381" t="str">
        <f ca="1">r_choice(Employees!$A$2:$A$101)</f>
        <v>empl_083</v>
      </c>
      <c r="I381" t="str">
        <f t="shared" ca="1" si="11"/>
        <v>insert into Local_sales values ('Sale-374', 'cust-058', '19-Feb-2020', 'Prod-022', 'br-002', 'empl_045');</v>
      </c>
    </row>
    <row r="382" spans="1:9" x14ac:dyDescent="0.25">
      <c r="A382" t="s">
        <v>5278</v>
      </c>
      <c r="B382" t="str">
        <f ca="1">r_choice(Customers!$A$2:$A$301)</f>
        <v>cust-067</v>
      </c>
      <c r="C382" s="12">
        <f t="shared" ca="1" si="10"/>
        <v>43983</v>
      </c>
      <c r="D382" t="str">
        <f ca="1">r_choice(Games!$A$2:$A$41)</f>
        <v>Prod-013</v>
      </c>
      <c r="E382" t="str">
        <f ca="1">r_choice(Branches!$A$2:$A$21)</f>
        <v>br-002</v>
      </c>
      <c r="F382" t="str">
        <f ca="1">r_choice(Employees!$A$2:$A$101)</f>
        <v>empl_076</v>
      </c>
      <c r="I382" t="str">
        <f t="shared" ca="1" si="11"/>
        <v>insert into Local_sales values ('Sale-375', 'cust-193', '20-Mar-2020', 'Prod-023', 'br-002', 'empl_078');</v>
      </c>
    </row>
    <row r="383" spans="1:9" x14ac:dyDescent="0.25">
      <c r="A383" t="s">
        <v>5279</v>
      </c>
      <c r="B383" t="str">
        <f ca="1">r_choice(Customers!$A$2:$A$301)</f>
        <v>cust-081</v>
      </c>
      <c r="C383" s="12">
        <f t="shared" ca="1" si="10"/>
        <v>43845</v>
      </c>
      <c r="D383" t="str">
        <f ca="1">r_choice(Games!$A$2:$A$41)</f>
        <v>Prod-022</v>
      </c>
      <c r="E383" t="str">
        <f ca="1">r_choice(Branches!$A$2:$A$21)</f>
        <v>br-010</v>
      </c>
      <c r="F383" t="str">
        <f ca="1">r_choice(Employees!$A$2:$A$101)</f>
        <v>empl_042</v>
      </c>
      <c r="I383" t="str">
        <f t="shared" ca="1" si="11"/>
        <v>insert into Local_sales values ('Sale-376', 'cust-016', '22-Jun-2020', 'Prod-016', 'br-012', 'empl_006');</v>
      </c>
    </row>
    <row r="384" spans="1:9" x14ac:dyDescent="0.25">
      <c r="A384" t="s">
        <v>5280</v>
      </c>
      <c r="B384" t="str">
        <f ca="1">r_choice(Customers!$A$2:$A$301)</f>
        <v>cust-194</v>
      </c>
      <c r="C384" s="12">
        <f t="shared" ca="1" si="10"/>
        <v>43927</v>
      </c>
      <c r="D384" t="str">
        <f ca="1">r_choice(Games!$A$2:$A$41)</f>
        <v>Prod-033</v>
      </c>
      <c r="E384" t="str">
        <f ca="1">r_choice(Branches!$A$2:$A$21)</f>
        <v>br-009</v>
      </c>
      <c r="F384" t="str">
        <f ca="1">r_choice(Employees!$A$2:$A$101)</f>
        <v>empl_031</v>
      </c>
      <c r="I384" t="str">
        <f t="shared" ca="1" si="11"/>
        <v>insert into Local_sales values ('Sale-377', 'cust-137', '14-Nov-2020', 'Prod-039', 'br-020', 'empl_062');</v>
      </c>
    </row>
    <row r="385" spans="1:9" x14ac:dyDescent="0.25">
      <c r="A385" t="s">
        <v>5281</v>
      </c>
      <c r="B385" t="str">
        <f ca="1">r_choice(Customers!$A$2:$A$301)</f>
        <v>cust-093</v>
      </c>
      <c r="C385" s="12">
        <f t="shared" ca="1" si="10"/>
        <v>44184</v>
      </c>
      <c r="D385" t="str">
        <f ca="1">r_choice(Games!$A$2:$A$41)</f>
        <v>Prod-037</v>
      </c>
      <c r="E385" t="str">
        <f ca="1">r_choice(Branches!$A$2:$A$21)</f>
        <v>br-009</v>
      </c>
      <c r="F385" t="str">
        <f ca="1">r_choice(Employees!$A$2:$A$101)</f>
        <v>empl_089</v>
      </c>
      <c r="I385" t="str">
        <f t="shared" ca="1" si="11"/>
        <v>insert into Local_sales values ('Sale-378', 'cust-008', '27-Mar-2020', 'Prod-009', 'br-019', 'empl_002');</v>
      </c>
    </row>
    <row r="386" spans="1:9" x14ac:dyDescent="0.25">
      <c r="A386" t="s">
        <v>5282</v>
      </c>
      <c r="B386" t="str">
        <f ca="1">r_choice(Customers!$A$2:$A$301)</f>
        <v>cust-017</v>
      </c>
      <c r="C386" s="12">
        <f t="shared" ca="1" si="10"/>
        <v>44054</v>
      </c>
      <c r="D386" t="str">
        <f ca="1">r_choice(Games!$A$2:$A$41)</f>
        <v>Prod-035</v>
      </c>
      <c r="E386" t="str">
        <f ca="1">r_choice(Branches!$A$2:$A$21)</f>
        <v>br-019</v>
      </c>
      <c r="F386" t="str">
        <f ca="1">r_choice(Employees!$A$2:$A$101)</f>
        <v>empl_029</v>
      </c>
      <c r="I386" t="str">
        <f t="shared" ca="1" si="11"/>
        <v>insert into Local_sales values ('Sale-379', 'cust-161', '24-Jan-2020', 'Prod-026', 'br-005', 'empl_094');</v>
      </c>
    </row>
    <row r="387" spans="1:9" x14ac:dyDescent="0.25">
      <c r="A387" t="s">
        <v>5283</v>
      </c>
      <c r="B387" t="str">
        <f ca="1">r_choice(Customers!$A$2:$A$301)</f>
        <v>cust-267</v>
      </c>
      <c r="C387" s="12">
        <f t="shared" ref="C387:C451" ca="1" si="12">r_date(2020,1,2020,12)</f>
        <v>43969</v>
      </c>
      <c r="D387" t="str">
        <f ca="1">r_choice(Games!$A$2:$A$41)</f>
        <v>Prod-022</v>
      </c>
      <c r="E387" t="str">
        <f ca="1">r_choice(Branches!$A$2:$A$21)</f>
        <v>br-002</v>
      </c>
      <c r="F387" t="str">
        <f ca="1">r_choice(Employees!$A$2:$A$101)</f>
        <v>empl_057</v>
      </c>
      <c r="I387" t="str">
        <f t="shared" ca="1" si="11"/>
        <v>insert into Local_sales values ('Sale-380', 'cust-032', '21-Sep-2020', 'Prod-038', 'br-020', 'empl_083');</v>
      </c>
    </row>
    <row r="388" spans="1:9" x14ac:dyDescent="0.25">
      <c r="A388" t="s">
        <v>5284</v>
      </c>
      <c r="B388" t="str">
        <f ca="1">r_choice(Customers!$A$2:$A$301)</f>
        <v>cust-014</v>
      </c>
      <c r="C388" s="12">
        <f t="shared" ca="1" si="12"/>
        <v>44071</v>
      </c>
      <c r="D388" t="str">
        <f ca="1">r_choice(Games!$A$2:$A$41)</f>
        <v>Prod-018</v>
      </c>
      <c r="E388" t="str">
        <f ca="1">r_choice(Branches!$A$2:$A$21)</f>
        <v>br-009</v>
      </c>
      <c r="F388" t="str">
        <f ca="1">r_choice(Employees!$A$2:$A$101)</f>
        <v>empl_093</v>
      </c>
      <c r="I388" t="str">
        <f t="shared" ca="1" si="11"/>
        <v>insert into Local_sales values ('Sale-381', 'cust-067', '01-Jun-2020', 'Prod-013', 'br-002', 'empl_076');</v>
      </c>
    </row>
    <row r="389" spans="1:9" x14ac:dyDescent="0.25">
      <c r="A389" t="s">
        <v>5285</v>
      </c>
      <c r="B389" t="str">
        <f ca="1">r_choice(Customers!$A$2:$A$301)</f>
        <v>cust-297</v>
      </c>
      <c r="C389" s="12">
        <f t="shared" ca="1" si="12"/>
        <v>44059</v>
      </c>
      <c r="D389" t="str">
        <f ca="1">r_choice(Games!$A$2:$A$41)</f>
        <v>Prod-022</v>
      </c>
      <c r="E389" t="str">
        <f ca="1">r_choice(Branches!$A$2:$A$21)</f>
        <v>br-001</v>
      </c>
      <c r="F389" t="str">
        <f ca="1">r_choice(Employees!$A$2:$A$101)</f>
        <v>empl_035</v>
      </c>
      <c r="I389" t="str">
        <f t="shared" ca="1" si="11"/>
        <v>insert into Local_sales values ('Sale-382', 'cust-081', '15-Jan-2020', 'Prod-022', 'br-010', 'empl_042');</v>
      </c>
    </row>
    <row r="390" spans="1:9" x14ac:dyDescent="0.25">
      <c r="A390" t="s">
        <v>5286</v>
      </c>
      <c r="B390" t="str">
        <f ca="1">r_choice(Customers!$A$2:$A$301)</f>
        <v>cust-147</v>
      </c>
      <c r="C390" s="12">
        <f t="shared" ca="1" si="12"/>
        <v>43871</v>
      </c>
      <c r="D390" t="str">
        <f ca="1">r_choice(Games!$A$2:$A$41)</f>
        <v>Prod-033</v>
      </c>
      <c r="E390" t="str">
        <f ca="1">r_choice(Branches!$A$2:$A$21)</f>
        <v>br-015</v>
      </c>
      <c r="F390" t="str">
        <f ca="1">r_choice(Employees!$A$2:$A$101)</f>
        <v>empl_081</v>
      </c>
      <c r="I390" t="str">
        <f t="shared" ca="1" si="11"/>
        <v>insert into Local_sales values ('Sale-383', 'cust-194', '06-Apr-2020', 'Prod-033', 'br-009', 'empl_031');</v>
      </c>
    </row>
    <row r="391" spans="1:9" x14ac:dyDescent="0.25">
      <c r="A391" t="s">
        <v>5287</v>
      </c>
      <c r="B391" t="str">
        <f ca="1">r_choice(Customers!$A$2:$A$301)</f>
        <v>cust-279</v>
      </c>
      <c r="C391" s="12">
        <f t="shared" ca="1" si="12"/>
        <v>44096</v>
      </c>
      <c r="D391" t="str">
        <f ca="1">r_choice(Games!$A$2:$A$41)</f>
        <v>Prod-011</v>
      </c>
      <c r="E391" t="str">
        <f ca="1">r_choice(Branches!$A$2:$A$21)</f>
        <v>br-004</v>
      </c>
      <c r="F391" t="str">
        <f ca="1">r_choice(Employees!$A$2:$A$101)</f>
        <v>empl_029</v>
      </c>
      <c r="I391" t="str">
        <f t="shared" ca="1" si="11"/>
        <v>insert into Local_sales values ('Sale-384', 'cust-093', '19-Dec-2020', 'Prod-037', 'br-009', 'empl_089');</v>
      </c>
    </row>
    <row r="392" spans="1:9" x14ac:dyDescent="0.25">
      <c r="A392" t="s">
        <v>5288</v>
      </c>
      <c r="B392" t="str">
        <f ca="1">r_choice(Customers!$A$2:$A$301)</f>
        <v>cust-024</v>
      </c>
      <c r="C392" s="12">
        <f t="shared" ca="1" si="12"/>
        <v>44067</v>
      </c>
      <c r="D392" t="str">
        <f ca="1">r_choice(Games!$A$2:$A$41)</f>
        <v>Prod-011</v>
      </c>
      <c r="E392" t="str">
        <f ca="1">r_choice(Branches!$A$2:$A$21)</f>
        <v>br-008</v>
      </c>
      <c r="F392" t="str">
        <f ca="1">r_choice(Employees!$A$2:$A$101)</f>
        <v>empl_038</v>
      </c>
      <c r="I392" t="str">
        <f t="shared" ref="I392:I455" ca="1" si="13">insertinto(A386:F386,$I$1:$J$6,"Local_sales")</f>
        <v>insert into Local_sales values ('Sale-385', 'cust-017', '11-Aug-2020', 'Prod-035', 'br-019', 'empl_029');</v>
      </c>
    </row>
    <row r="393" spans="1:9" x14ac:dyDescent="0.25">
      <c r="A393" t="s">
        <v>5289</v>
      </c>
      <c r="B393" t="str">
        <f ca="1">r_choice(Customers!$A$2:$A$301)</f>
        <v>cust-104</v>
      </c>
      <c r="C393" s="12">
        <f t="shared" ca="1" si="12"/>
        <v>43959</v>
      </c>
      <c r="D393" t="str">
        <f ca="1">r_choice(Games!$A$2:$A$41)</f>
        <v>Prod-009</v>
      </c>
      <c r="E393" t="str">
        <f ca="1">r_choice(Branches!$A$2:$A$21)</f>
        <v>br-014</v>
      </c>
      <c r="F393" t="str">
        <f ca="1">r_choice(Employees!$A$2:$A$101)</f>
        <v>empl_030</v>
      </c>
      <c r="I393" t="str">
        <f t="shared" ca="1" si="13"/>
        <v>insert into Local_sales values ('Sale-386', 'cust-267', '18-May-2020', 'Prod-022', 'br-002', 'empl_057');</v>
      </c>
    </row>
    <row r="394" spans="1:9" x14ac:dyDescent="0.25">
      <c r="A394" t="s">
        <v>5290</v>
      </c>
      <c r="B394" t="str">
        <f ca="1">r_choice(Customers!$A$2:$A$301)</f>
        <v>cust-195</v>
      </c>
      <c r="C394" s="12">
        <f t="shared" ca="1" si="12"/>
        <v>43964</v>
      </c>
      <c r="D394" t="str">
        <f ca="1">r_choice(Games!$A$2:$A$41)</f>
        <v>Prod-019</v>
      </c>
      <c r="E394" t="str">
        <f ca="1">r_choice(Branches!$A$2:$A$21)</f>
        <v>br-006</v>
      </c>
      <c r="F394" t="str">
        <f ca="1">r_choice(Employees!$A$2:$A$101)</f>
        <v>empl_011</v>
      </c>
      <c r="I394" t="str">
        <f t="shared" ca="1" si="13"/>
        <v>insert into Local_sales values ('Sale-387', 'cust-014', '28-Aug-2020', 'Prod-018', 'br-009', 'empl_093');</v>
      </c>
    </row>
    <row r="395" spans="1:9" x14ac:dyDescent="0.25">
      <c r="A395" t="s">
        <v>5291</v>
      </c>
      <c r="B395" t="str">
        <f ca="1">r_choice(Customers!$A$2:$A$301)</f>
        <v>cust-189</v>
      </c>
      <c r="C395" s="12">
        <f t="shared" ca="1" si="12"/>
        <v>44084</v>
      </c>
      <c r="D395" t="str">
        <f ca="1">r_choice(Games!$A$2:$A$41)</f>
        <v>Prod-017</v>
      </c>
      <c r="E395" t="str">
        <f ca="1">r_choice(Branches!$A$2:$A$21)</f>
        <v>br-014</v>
      </c>
      <c r="F395" t="str">
        <f ca="1">r_choice(Employees!$A$2:$A$101)</f>
        <v>empl_060</v>
      </c>
      <c r="I395" t="str">
        <f t="shared" ca="1" si="13"/>
        <v>insert into Local_sales values ('Sale-388', 'cust-297', '16-Aug-2020', 'Prod-022', 'br-001', 'empl_035');</v>
      </c>
    </row>
    <row r="396" spans="1:9" x14ac:dyDescent="0.25">
      <c r="A396" t="s">
        <v>5292</v>
      </c>
      <c r="B396" t="str">
        <f ca="1">r_choice(Customers!$A$2:$A$301)</f>
        <v>cust-137</v>
      </c>
      <c r="C396" s="12">
        <f t="shared" ca="1" si="12"/>
        <v>43948</v>
      </c>
      <c r="D396" t="str">
        <f ca="1">r_choice(Games!$A$2:$A$41)</f>
        <v>Prod-035</v>
      </c>
      <c r="E396" t="str">
        <f ca="1">r_choice(Branches!$A$2:$A$21)</f>
        <v>br-001</v>
      </c>
      <c r="F396" t="str">
        <f ca="1">r_choice(Employees!$A$2:$A$101)</f>
        <v>empl_037</v>
      </c>
      <c r="I396" t="str">
        <f t="shared" ca="1" si="13"/>
        <v>insert into Local_sales values ('Sale-389', 'cust-147', '10-Feb-2020', 'Prod-033', 'br-015', 'empl_081');</v>
      </c>
    </row>
    <row r="397" spans="1:9" x14ac:dyDescent="0.25">
      <c r="A397" t="s">
        <v>5293</v>
      </c>
      <c r="B397" t="str">
        <f ca="1">r_choice(Customers!$A$2:$A$301)</f>
        <v>cust-016</v>
      </c>
      <c r="C397" s="12">
        <f t="shared" ca="1" si="12"/>
        <v>44155</v>
      </c>
      <c r="D397" t="str">
        <f ca="1">r_choice(Games!$A$2:$A$41)</f>
        <v>Prod-033</v>
      </c>
      <c r="E397" t="str">
        <f ca="1">r_choice(Branches!$A$2:$A$21)</f>
        <v>br-004</v>
      </c>
      <c r="F397" t="str">
        <f ca="1">r_choice(Employees!$A$2:$A$101)</f>
        <v>empl_049</v>
      </c>
      <c r="I397" t="str">
        <f t="shared" ca="1" si="13"/>
        <v>insert into Local_sales values ('Sale-390', 'cust-279', '22-Sep-2020', 'Prod-011', 'br-004', 'empl_029');</v>
      </c>
    </row>
    <row r="398" spans="1:9" x14ac:dyDescent="0.25">
      <c r="A398" t="s">
        <v>5294</v>
      </c>
      <c r="B398" t="str">
        <f ca="1">r_choice(Customers!$A$2:$A$301)</f>
        <v>cust-023</v>
      </c>
      <c r="C398" s="12">
        <f t="shared" ca="1" si="12"/>
        <v>44001</v>
      </c>
      <c r="D398" t="str">
        <f ca="1">r_choice(Games!$A$2:$A$41)</f>
        <v>Prod-004</v>
      </c>
      <c r="E398" t="str">
        <f ca="1">r_choice(Branches!$A$2:$A$21)</f>
        <v>br-003</v>
      </c>
      <c r="F398" t="str">
        <f ca="1">r_choice(Employees!$A$2:$A$101)</f>
        <v>empl_021</v>
      </c>
      <c r="I398" t="str">
        <f t="shared" ca="1" si="13"/>
        <v>insert into Local_sales values ('Sale-391', 'cust-024', '24-Aug-2020', 'Prod-011', 'br-008', 'empl_038');</v>
      </c>
    </row>
    <row r="399" spans="1:9" x14ac:dyDescent="0.25">
      <c r="A399" t="s">
        <v>5295</v>
      </c>
      <c r="B399" t="str">
        <f ca="1">r_choice(Customers!$A$2:$A$301)</f>
        <v>cust-297</v>
      </c>
      <c r="C399" s="12">
        <f t="shared" ca="1" si="12"/>
        <v>44037</v>
      </c>
      <c r="D399" t="str">
        <f ca="1">r_choice(Games!$A$2:$A$41)</f>
        <v>Prod-006</v>
      </c>
      <c r="E399" t="str">
        <f ca="1">r_choice(Branches!$A$2:$A$21)</f>
        <v>br-018</v>
      </c>
      <c r="F399" t="str">
        <f ca="1">r_choice(Employees!$A$2:$A$101)</f>
        <v>empl_076</v>
      </c>
      <c r="I399" t="str">
        <f t="shared" ca="1" si="13"/>
        <v>insert into Local_sales values ('Sale-392', 'cust-104', '08-May-2020', 'Prod-009', 'br-014', 'empl_030');</v>
      </c>
    </row>
    <row r="400" spans="1:9" x14ac:dyDescent="0.25">
      <c r="A400" t="s">
        <v>5296</v>
      </c>
      <c r="B400" t="str">
        <f ca="1">r_choice(Customers!$A$2:$A$301)</f>
        <v>cust-080</v>
      </c>
      <c r="C400" s="12">
        <f t="shared" ca="1" si="12"/>
        <v>43868</v>
      </c>
      <c r="D400" t="str">
        <f ca="1">r_choice(Games!$A$2:$A$41)</f>
        <v>Prod-029</v>
      </c>
      <c r="E400" t="str">
        <f ca="1">r_choice(Branches!$A$2:$A$21)</f>
        <v>br-001</v>
      </c>
      <c r="F400" t="str">
        <f ca="1">r_choice(Employees!$A$2:$A$101)</f>
        <v>empl_069</v>
      </c>
      <c r="I400" t="str">
        <f t="shared" ca="1" si="13"/>
        <v>insert into Local_sales values ('Sale-393', 'cust-195', '13-May-2020', 'Prod-019', 'br-006', 'empl_011');</v>
      </c>
    </row>
    <row r="401" spans="1:9" x14ac:dyDescent="0.25">
      <c r="A401" t="s">
        <v>5297</v>
      </c>
      <c r="B401" t="str">
        <f ca="1">r_choice(Customers!$A$2:$A$301)</f>
        <v>cust-030</v>
      </c>
      <c r="C401" s="12">
        <f t="shared" ca="1" si="12"/>
        <v>43887</v>
      </c>
      <c r="D401" t="str">
        <f ca="1">r_choice(Games!$A$2:$A$41)</f>
        <v>Prod-037</v>
      </c>
      <c r="E401" t="str">
        <f ca="1">r_choice(Branches!$A$2:$A$21)</f>
        <v>br-009</v>
      </c>
      <c r="F401" t="str">
        <f ca="1">r_choice(Employees!$A$2:$A$101)</f>
        <v>empl_042</v>
      </c>
      <c r="I401" t="str">
        <f t="shared" ca="1" si="13"/>
        <v>insert into Local_sales values ('Sale-394', 'cust-189', '10-Sep-2020', 'Prod-017', 'br-014', 'empl_060');</v>
      </c>
    </row>
    <row r="402" spans="1:9" x14ac:dyDescent="0.25">
      <c r="A402" t="s">
        <v>5298</v>
      </c>
      <c r="B402" t="str">
        <f ca="1">r_choice(Customers!$A$2:$A$301)</f>
        <v>cust-254</v>
      </c>
      <c r="C402" s="12">
        <f t="shared" ca="1" si="12"/>
        <v>43972</v>
      </c>
      <c r="D402" t="str">
        <f ca="1">r_choice(Games!$A$2:$A$41)</f>
        <v>Prod-037</v>
      </c>
      <c r="E402" t="str">
        <f ca="1">r_choice(Branches!$A$2:$A$21)</f>
        <v>br-009</v>
      </c>
      <c r="F402" t="str">
        <f ca="1">r_choice(Employees!$A$2:$A$101)</f>
        <v>empl_067</v>
      </c>
      <c r="I402" t="str">
        <f t="shared" ca="1" si="13"/>
        <v>insert into Local_sales values ('Sale-395', 'cust-137', '27-Apr-2020', 'Prod-035', 'br-001', 'empl_037');</v>
      </c>
    </row>
    <row r="403" spans="1:9" x14ac:dyDescent="0.25">
      <c r="A403" t="s">
        <v>5299</v>
      </c>
      <c r="B403" t="str">
        <f ca="1">r_choice(Customers!$A$2:$A$301)</f>
        <v>cust-295</v>
      </c>
      <c r="C403" s="12">
        <f t="shared" ca="1" si="12"/>
        <v>44097</v>
      </c>
      <c r="D403" t="str">
        <f ca="1">r_choice(Games!$A$2:$A$41)</f>
        <v>Prod-018</v>
      </c>
      <c r="E403" t="str">
        <f ca="1">r_choice(Branches!$A$2:$A$21)</f>
        <v>br-007</v>
      </c>
      <c r="F403" t="str">
        <f ca="1">r_choice(Employees!$A$2:$A$101)</f>
        <v>empl_042</v>
      </c>
      <c r="I403" t="str">
        <f t="shared" ca="1" si="13"/>
        <v>insert into Local_sales values ('Sale-396', 'cust-016', '20-Nov-2020', 'Prod-033', 'br-004', 'empl_049');</v>
      </c>
    </row>
    <row r="404" spans="1:9" x14ac:dyDescent="0.25">
      <c r="A404" t="s">
        <v>5300</v>
      </c>
      <c r="B404" t="str">
        <f ca="1">r_choice(Customers!$A$2:$A$301)</f>
        <v>cust-114</v>
      </c>
      <c r="C404" s="12">
        <f t="shared" ca="1" si="12"/>
        <v>44145</v>
      </c>
      <c r="D404" t="str">
        <f ca="1">r_choice(Games!$A$2:$A$41)</f>
        <v>Prod-007</v>
      </c>
      <c r="E404" t="str">
        <f ca="1">r_choice(Branches!$A$2:$A$21)</f>
        <v>br-018</v>
      </c>
      <c r="F404" t="str">
        <f ca="1">r_choice(Employees!$A$2:$A$101)</f>
        <v>empl_022</v>
      </c>
      <c r="I404" t="str">
        <f t="shared" ca="1" si="13"/>
        <v>insert into Local_sales values ('Sale-397', 'cust-023', '19-Jun-2020', 'Prod-004', 'br-003', 'empl_021');</v>
      </c>
    </row>
    <row r="405" spans="1:9" x14ac:dyDescent="0.25">
      <c r="A405" t="s">
        <v>5301</v>
      </c>
      <c r="B405" t="str">
        <f ca="1">r_choice(Customers!$A$2:$A$301)</f>
        <v>cust-126</v>
      </c>
      <c r="C405" s="12">
        <f t="shared" ca="1" si="12"/>
        <v>44012</v>
      </c>
      <c r="D405" t="str">
        <f ca="1">r_choice(Games!$A$2:$A$41)</f>
        <v>Prod-032</v>
      </c>
      <c r="E405" t="str">
        <f ca="1">r_choice(Branches!$A$2:$A$21)</f>
        <v>br-013</v>
      </c>
      <c r="F405" t="str">
        <f ca="1">r_choice(Employees!$A$2:$A$101)</f>
        <v>empl_049</v>
      </c>
      <c r="I405" t="str">
        <f t="shared" ca="1" si="13"/>
        <v>insert into Local_sales values ('Sale-398', 'cust-297', '25-Jul-2020', 'Prod-006', 'br-018', 'empl_076');</v>
      </c>
    </row>
    <row r="406" spans="1:9" x14ac:dyDescent="0.25">
      <c r="A406" t="s">
        <v>5302</v>
      </c>
      <c r="B406" t="str">
        <f ca="1">r_choice(Customers!$A$2:$A$301)</f>
        <v>cust-221</v>
      </c>
      <c r="C406" s="12">
        <f t="shared" ca="1" si="12"/>
        <v>44135</v>
      </c>
      <c r="D406" t="str">
        <f ca="1">r_choice(Games!$A$2:$A$41)</f>
        <v>Prod-031</v>
      </c>
      <c r="E406" t="str">
        <f ca="1">r_choice(Branches!$A$2:$A$21)</f>
        <v>br-013</v>
      </c>
      <c r="F406" t="str">
        <f ca="1">r_choice(Employees!$A$2:$A$101)</f>
        <v>empl_074</v>
      </c>
      <c r="I406" t="str">
        <f t="shared" ca="1" si="13"/>
        <v>insert into Local_sales values ('Sale-399', 'cust-080', '07-Feb-2020', 'Prod-029', 'br-001', 'empl_069');</v>
      </c>
    </row>
    <row r="407" spans="1:9" x14ac:dyDescent="0.25">
      <c r="A407" t="s">
        <v>5303</v>
      </c>
      <c r="B407" t="str">
        <f ca="1">r_choice(Customers!$A$2:$A$301)</f>
        <v>cust-136</v>
      </c>
      <c r="C407" s="12">
        <f t="shared" ca="1" si="12"/>
        <v>44156</v>
      </c>
      <c r="D407" t="str">
        <f ca="1">r_choice(Games!$A$2:$A$41)</f>
        <v>Prod-035</v>
      </c>
      <c r="E407" t="str">
        <f ca="1">r_choice(Branches!$A$2:$A$21)</f>
        <v>br-011</v>
      </c>
      <c r="F407" t="str">
        <f ca="1">r_choice(Employees!$A$2:$A$101)</f>
        <v>empl_087</v>
      </c>
      <c r="I407" t="str">
        <f t="shared" ca="1" si="13"/>
        <v>insert into Local_sales values ('Sale-400', 'cust-030', '26-Feb-2020', 'Prod-037', 'br-009', 'empl_042');</v>
      </c>
    </row>
    <row r="408" spans="1:9" x14ac:dyDescent="0.25">
      <c r="A408" t="s">
        <v>5304</v>
      </c>
      <c r="B408" t="str">
        <f ca="1">r_choice(Customers!$A$2:$A$301)</f>
        <v>cust-245</v>
      </c>
      <c r="C408" s="12">
        <f t="shared" ca="1" si="12"/>
        <v>44176</v>
      </c>
      <c r="D408" t="str">
        <f ca="1">r_choice(Games!$A$2:$A$41)</f>
        <v>Prod-019</v>
      </c>
      <c r="E408" t="str">
        <f ca="1">r_choice(Branches!$A$2:$A$21)</f>
        <v>br-008</v>
      </c>
      <c r="F408" t="str">
        <f ca="1">r_choice(Employees!$A$2:$A$101)</f>
        <v>empl_067</v>
      </c>
      <c r="I408" t="str">
        <f t="shared" ca="1" si="13"/>
        <v>insert into Local_sales values ('Sale-401', 'cust-254', '21-May-2020', 'Prod-037', 'br-009', 'empl_067');</v>
      </c>
    </row>
    <row r="409" spans="1:9" x14ac:dyDescent="0.25">
      <c r="A409" t="s">
        <v>5305</v>
      </c>
      <c r="B409" t="str">
        <f ca="1">r_choice(Customers!$A$2:$A$301)</f>
        <v>cust-101</v>
      </c>
      <c r="C409" s="12">
        <f t="shared" ca="1" si="12"/>
        <v>44192</v>
      </c>
      <c r="D409" t="str">
        <f ca="1">r_choice(Games!$A$2:$A$41)</f>
        <v>Prod-027</v>
      </c>
      <c r="E409" t="str">
        <f ca="1">r_choice(Branches!$A$2:$A$21)</f>
        <v>br-009</v>
      </c>
      <c r="F409" t="str">
        <f ca="1">r_choice(Employees!$A$2:$A$101)</f>
        <v>empl_058</v>
      </c>
      <c r="I409" t="str">
        <f t="shared" ca="1" si="13"/>
        <v>insert into Local_sales values ('Sale-402', 'cust-295', '23-Sep-2020', 'Prod-018', 'br-007', 'empl_042');</v>
      </c>
    </row>
    <row r="410" spans="1:9" x14ac:dyDescent="0.25">
      <c r="A410" t="s">
        <v>5306</v>
      </c>
      <c r="B410" t="str">
        <f ca="1">r_choice(Customers!$A$2:$A$301)</f>
        <v>cust-180</v>
      </c>
      <c r="C410" s="12">
        <f t="shared" ca="1" si="12"/>
        <v>43979</v>
      </c>
      <c r="D410" t="str">
        <f ca="1">r_choice(Games!$A$2:$A$41)</f>
        <v>Prod-020</v>
      </c>
      <c r="E410" t="str">
        <f ca="1">r_choice(Branches!$A$2:$A$21)</f>
        <v>br-009</v>
      </c>
      <c r="F410" t="str">
        <f ca="1">r_choice(Employees!$A$2:$A$101)</f>
        <v>empl_080</v>
      </c>
      <c r="I410" t="str">
        <f t="shared" ca="1" si="13"/>
        <v>insert into Local_sales values ('Sale-403', 'cust-114', '10-Nov-2020', 'Prod-007', 'br-018', 'empl_022');</v>
      </c>
    </row>
    <row r="411" spans="1:9" x14ac:dyDescent="0.25">
      <c r="A411" t="s">
        <v>5307</v>
      </c>
      <c r="B411" t="str">
        <f ca="1">r_choice(Customers!$A$2:$A$301)</f>
        <v>cust-298</v>
      </c>
      <c r="C411" s="12">
        <f t="shared" ca="1" si="12"/>
        <v>43973</v>
      </c>
      <c r="D411" t="str">
        <f ca="1">r_choice(Games!$A$2:$A$41)</f>
        <v>Prod-027</v>
      </c>
      <c r="E411" t="str">
        <f ca="1">r_choice(Branches!$A$2:$A$21)</f>
        <v>br-008</v>
      </c>
      <c r="F411" t="str">
        <f ca="1">r_choice(Employees!$A$2:$A$101)</f>
        <v>empl_006</v>
      </c>
      <c r="I411" t="str">
        <f t="shared" ca="1" si="13"/>
        <v>insert into Local_sales values ('Sale-404', 'cust-126', '30-Jun-2020', 'Prod-032', 'br-013', 'empl_049');</v>
      </c>
    </row>
    <row r="412" spans="1:9" x14ac:dyDescent="0.25">
      <c r="A412" t="s">
        <v>5308</v>
      </c>
      <c r="B412" t="str">
        <f ca="1">r_choice(Customers!$A$2:$A$301)</f>
        <v>cust-104</v>
      </c>
      <c r="C412" s="12">
        <f t="shared" ca="1" si="12"/>
        <v>43848</v>
      </c>
      <c r="D412" t="str">
        <f ca="1">r_choice(Games!$A$2:$A$41)</f>
        <v>Prod-036</v>
      </c>
      <c r="E412" t="str">
        <f ca="1">r_choice(Branches!$A$2:$A$21)</f>
        <v>br-018</v>
      </c>
      <c r="F412" t="str">
        <f ca="1">r_choice(Employees!$A$2:$A$101)</f>
        <v>empl_006</v>
      </c>
      <c r="I412" t="str">
        <f t="shared" ca="1" si="13"/>
        <v>insert into Local_sales values ('Sale-405', 'cust-221', '31-Oct-2020', 'Prod-031', 'br-013', 'empl_074');</v>
      </c>
    </row>
    <row r="413" spans="1:9" x14ac:dyDescent="0.25">
      <c r="A413" t="s">
        <v>5309</v>
      </c>
      <c r="B413" t="str">
        <f ca="1">r_choice(Customers!$A$2:$A$301)</f>
        <v>cust-092</v>
      </c>
      <c r="C413" s="12">
        <f t="shared" ca="1" si="12"/>
        <v>43858</v>
      </c>
      <c r="D413" t="str">
        <f ca="1">r_choice(Games!$A$2:$A$41)</f>
        <v>Prod-026</v>
      </c>
      <c r="E413" t="str">
        <f ca="1">r_choice(Branches!$A$2:$A$21)</f>
        <v>br-012</v>
      </c>
      <c r="F413" t="str">
        <f ca="1">r_choice(Employees!$A$2:$A$101)</f>
        <v>empl_007</v>
      </c>
      <c r="I413" t="str">
        <f t="shared" ca="1" si="13"/>
        <v>insert into Local_sales values ('Sale-406', 'cust-136', '21-Nov-2020', 'Prod-035', 'br-011', 'empl_087');</v>
      </c>
    </row>
    <row r="414" spans="1:9" x14ac:dyDescent="0.25">
      <c r="A414" t="s">
        <v>5310</v>
      </c>
      <c r="B414" t="str">
        <f ca="1">r_choice(Customers!$A$2:$A$301)</f>
        <v>cust-250</v>
      </c>
      <c r="C414" s="12">
        <f t="shared" ca="1" si="12"/>
        <v>44047</v>
      </c>
      <c r="D414" t="str">
        <f ca="1">r_choice(Games!$A$2:$A$41)</f>
        <v>Prod-014</v>
      </c>
      <c r="E414" t="str">
        <f ca="1">r_choice(Branches!$A$2:$A$21)</f>
        <v>br-018</v>
      </c>
      <c r="F414" t="str">
        <f ca="1">r_choice(Employees!$A$2:$A$101)</f>
        <v>empl_037</v>
      </c>
      <c r="I414" t="str">
        <f t="shared" ca="1" si="13"/>
        <v>insert into Local_sales values ('Sale-407', 'cust-245', '11-Dec-2020', 'Prod-019', 'br-008', 'empl_067');</v>
      </c>
    </row>
    <row r="415" spans="1:9" x14ac:dyDescent="0.25">
      <c r="A415" t="s">
        <v>5311</v>
      </c>
      <c r="B415" t="str">
        <f ca="1">r_choice(Customers!$A$2:$A$301)</f>
        <v>cust-092</v>
      </c>
      <c r="C415" s="12">
        <f t="shared" ca="1" si="12"/>
        <v>44059</v>
      </c>
      <c r="D415" t="str">
        <f ca="1">r_choice(Games!$A$2:$A$41)</f>
        <v>Prod-034</v>
      </c>
      <c r="E415" t="str">
        <f ca="1">r_choice(Branches!$A$2:$A$21)</f>
        <v>br-017</v>
      </c>
      <c r="F415" t="str">
        <f ca="1">r_choice(Employees!$A$2:$A$101)</f>
        <v>empl_068</v>
      </c>
      <c r="I415" t="str">
        <f t="shared" ca="1" si="13"/>
        <v>insert into Local_sales values ('Sale-408', 'cust-101', '27-Dec-2020', 'Prod-027', 'br-009', 'empl_058');</v>
      </c>
    </row>
    <row r="416" spans="1:9" x14ac:dyDescent="0.25">
      <c r="A416" t="s">
        <v>5312</v>
      </c>
      <c r="B416" t="str">
        <f ca="1">r_choice(Customers!$A$2:$A$301)</f>
        <v>cust-279</v>
      </c>
      <c r="C416" s="12">
        <f t="shared" ca="1" si="12"/>
        <v>43952</v>
      </c>
      <c r="D416" t="str">
        <f ca="1">r_choice(Games!$A$2:$A$41)</f>
        <v>Prod-003</v>
      </c>
      <c r="E416" t="str">
        <f ca="1">r_choice(Branches!$A$2:$A$21)</f>
        <v>br-014</v>
      </c>
      <c r="F416" t="str">
        <f ca="1">r_choice(Employees!$A$2:$A$101)</f>
        <v>empl_028</v>
      </c>
      <c r="I416" t="str">
        <f t="shared" ca="1" si="13"/>
        <v>insert into Local_sales values ('Sale-409', 'cust-180', '28-May-2020', 'Prod-020', 'br-009', 'empl_080');</v>
      </c>
    </row>
    <row r="417" spans="1:9" x14ac:dyDescent="0.25">
      <c r="A417" t="s">
        <v>5313</v>
      </c>
      <c r="B417" t="str">
        <f ca="1">r_choice(Customers!$A$2:$A$301)</f>
        <v>cust-097</v>
      </c>
      <c r="C417" s="12">
        <f t="shared" ca="1" si="12"/>
        <v>43971</v>
      </c>
      <c r="D417" t="str">
        <f ca="1">r_choice(Games!$A$2:$A$41)</f>
        <v>Prod-013</v>
      </c>
      <c r="E417" t="str">
        <f ca="1">r_choice(Branches!$A$2:$A$21)</f>
        <v>br-003</v>
      </c>
      <c r="F417" t="str">
        <f ca="1">r_choice(Employees!$A$2:$A$101)</f>
        <v>empl_074</v>
      </c>
      <c r="I417" t="str">
        <f t="shared" ca="1" si="13"/>
        <v>insert into Local_sales values ('Sale-410', 'cust-298', '22-May-2020', 'Prod-027', 'br-008', 'empl_006');</v>
      </c>
    </row>
    <row r="418" spans="1:9" x14ac:dyDescent="0.25">
      <c r="A418" t="s">
        <v>5314</v>
      </c>
      <c r="B418" t="str">
        <f ca="1">r_choice(Customers!$A$2:$A$301)</f>
        <v>cust-181</v>
      </c>
      <c r="C418" s="12">
        <f t="shared" ca="1" si="12"/>
        <v>43867</v>
      </c>
      <c r="D418" t="str">
        <f ca="1">r_choice(Games!$A$2:$A$41)</f>
        <v>Prod-013</v>
      </c>
      <c r="E418" t="str">
        <f ca="1">r_choice(Branches!$A$2:$A$21)</f>
        <v>br-014</v>
      </c>
      <c r="F418" t="str">
        <f ca="1">r_choice(Employees!$A$2:$A$101)</f>
        <v>empl_035</v>
      </c>
      <c r="I418" t="str">
        <f t="shared" ca="1" si="13"/>
        <v>insert into Local_sales values ('Sale-411', 'cust-104', '18-Jan-2020', 'Prod-036', 'br-018', 'empl_006');</v>
      </c>
    </row>
    <row r="419" spans="1:9" x14ac:dyDescent="0.25">
      <c r="A419" t="s">
        <v>5315</v>
      </c>
      <c r="B419" t="str">
        <f ca="1">r_choice(Customers!$A$2:$A$301)</f>
        <v>cust-231</v>
      </c>
      <c r="C419" s="12">
        <f t="shared" ca="1" si="12"/>
        <v>43952</v>
      </c>
      <c r="D419" t="str">
        <f ca="1">r_choice(Games!$A$2:$A$41)</f>
        <v>Prod-029</v>
      </c>
      <c r="E419" t="str">
        <f ca="1">r_choice(Branches!$A$2:$A$21)</f>
        <v>br-017</v>
      </c>
      <c r="F419" t="str">
        <f ca="1">r_choice(Employees!$A$2:$A$101)</f>
        <v>empl_005</v>
      </c>
      <c r="I419" t="str">
        <f t="shared" ca="1" si="13"/>
        <v>insert into Local_sales values ('Sale-412', 'cust-092', '28-Jan-2020', 'Prod-026', 'br-012', 'empl_007');</v>
      </c>
    </row>
    <row r="420" spans="1:9" x14ac:dyDescent="0.25">
      <c r="A420" t="s">
        <v>5316</v>
      </c>
      <c r="B420" t="str">
        <f ca="1">r_choice(Customers!$A$2:$A$301)</f>
        <v>cust-224</v>
      </c>
      <c r="C420" s="12">
        <f t="shared" ca="1" si="12"/>
        <v>44189</v>
      </c>
      <c r="D420" t="str">
        <f ca="1">r_choice(Games!$A$2:$A$41)</f>
        <v>Prod-005</v>
      </c>
      <c r="E420" t="str">
        <f ca="1">r_choice(Branches!$A$2:$A$21)</f>
        <v>br-002</v>
      </c>
      <c r="F420" t="str">
        <f ca="1">r_choice(Employees!$A$2:$A$101)</f>
        <v>empl_048</v>
      </c>
      <c r="I420" t="str">
        <f t="shared" ca="1" si="13"/>
        <v>insert into Local_sales values ('Sale-413', 'cust-250', '04-Aug-2020', 'Prod-014', 'br-018', 'empl_037');</v>
      </c>
    </row>
    <row r="421" spans="1:9" x14ac:dyDescent="0.25">
      <c r="A421" t="s">
        <v>5317</v>
      </c>
      <c r="B421" t="str">
        <f ca="1">r_choice(Customers!$A$2:$A$301)</f>
        <v>cust-260</v>
      </c>
      <c r="C421" s="12">
        <f t="shared" ca="1" si="12"/>
        <v>44070</v>
      </c>
      <c r="D421" t="str">
        <f ca="1">r_choice(Games!$A$2:$A$41)</f>
        <v>Prod-027</v>
      </c>
      <c r="E421" t="str">
        <f ca="1">r_choice(Branches!$A$2:$A$21)</f>
        <v>br-017</v>
      </c>
      <c r="F421" t="str">
        <f ca="1">r_choice(Employees!$A$2:$A$101)</f>
        <v>empl_090</v>
      </c>
      <c r="I421" t="str">
        <f t="shared" ca="1" si="13"/>
        <v>insert into Local_sales values ('Sale-414', 'cust-092', '16-Aug-2020', 'Prod-034', 'br-017', 'empl_068');</v>
      </c>
    </row>
    <row r="422" spans="1:9" x14ac:dyDescent="0.25">
      <c r="A422" t="s">
        <v>5318</v>
      </c>
      <c r="B422" t="str">
        <f ca="1">r_choice(Customers!$A$2:$A$301)</f>
        <v>cust-115</v>
      </c>
      <c r="C422" s="12">
        <f t="shared" ca="1" si="12"/>
        <v>43984</v>
      </c>
      <c r="D422" t="str">
        <f ca="1">r_choice(Games!$A$2:$A$41)</f>
        <v>Prod-034</v>
      </c>
      <c r="E422" t="str">
        <f ca="1">r_choice(Branches!$A$2:$A$21)</f>
        <v>br-002</v>
      </c>
      <c r="F422" t="str">
        <f ca="1">r_choice(Employees!$A$2:$A$101)</f>
        <v>empl_081</v>
      </c>
      <c r="I422" t="str">
        <f t="shared" ca="1" si="13"/>
        <v>insert into Local_sales values ('Sale-415', 'cust-279', '01-May-2020', 'Prod-003', 'br-014', 'empl_028');</v>
      </c>
    </row>
    <row r="423" spans="1:9" x14ac:dyDescent="0.25">
      <c r="A423" t="s">
        <v>5319</v>
      </c>
      <c r="B423" t="str">
        <f ca="1">r_choice(Customers!$A$2:$A$301)</f>
        <v>cust-231</v>
      </c>
      <c r="C423" s="12">
        <f t="shared" ca="1" si="12"/>
        <v>43986</v>
      </c>
      <c r="D423" t="str">
        <f ca="1">r_choice(Games!$A$2:$A$41)</f>
        <v>Prod-023</v>
      </c>
      <c r="E423" t="str">
        <f ca="1">r_choice(Branches!$A$2:$A$21)</f>
        <v>br-009</v>
      </c>
      <c r="F423" t="str">
        <f ca="1">r_choice(Employees!$A$2:$A$101)</f>
        <v>empl_064</v>
      </c>
      <c r="I423" t="str">
        <f t="shared" ca="1" si="13"/>
        <v>insert into Local_sales values ('Sale-416', 'cust-097', '20-May-2020', 'Prod-013', 'br-003', 'empl_074');</v>
      </c>
    </row>
    <row r="424" spans="1:9" x14ac:dyDescent="0.25">
      <c r="A424" t="s">
        <v>5320</v>
      </c>
      <c r="B424" t="str">
        <f ca="1">r_choice(Customers!$A$2:$A$301)</f>
        <v>cust-269</v>
      </c>
      <c r="C424" s="12">
        <f t="shared" ca="1" si="12"/>
        <v>43929</v>
      </c>
      <c r="D424" t="str">
        <f ca="1">r_choice(Games!$A$2:$A$41)</f>
        <v>Prod-040</v>
      </c>
      <c r="E424" t="str">
        <f ca="1">r_choice(Branches!$A$2:$A$21)</f>
        <v>br-009</v>
      </c>
      <c r="F424" t="str">
        <f ca="1">r_choice(Employees!$A$2:$A$101)</f>
        <v>empl_070</v>
      </c>
      <c r="I424" t="str">
        <f t="shared" ca="1" si="13"/>
        <v>insert into Local_sales values ('Sale-417', 'cust-181', '06-Feb-2020', 'Prod-013', 'br-014', 'empl_035');</v>
      </c>
    </row>
    <row r="425" spans="1:9" x14ac:dyDescent="0.25">
      <c r="A425" t="s">
        <v>5321</v>
      </c>
      <c r="B425" t="str">
        <f ca="1">r_choice(Customers!$A$2:$A$301)</f>
        <v>cust-125</v>
      </c>
      <c r="C425" s="12">
        <f t="shared" ca="1" si="12"/>
        <v>43905</v>
      </c>
      <c r="D425" t="str">
        <f ca="1">r_choice(Games!$A$2:$A$41)</f>
        <v>Prod-006</v>
      </c>
      <c r="E425" t="str">
        <f ca="1">r_choice(Branches!$A$2:$A$21)</f>
        <v>br-010</v>
      </c>
      <c r="F425" t="str">
        <f ca="1">r_choice(Employees!$A$2:$A$101)</f>
        <v>empl_025</v>
      </c>
      <c r="I425" t="str">
        <f t="shared" ca="1" si="13"/>
        <v>insert into Local_sales values ('Sale-418', 'cust-231', '01-May-2020', 'Prod-029', 'br-017', 'empl_005');</v>
      </c>
    </row>
    <row r="426" spans="1:9" x14ac:dyDescent="0.25">
      <c r="A426" t="s">
        <v>5322</v>
      </c>
      <c r="B426" t="str">
        <f ca="1">r_choice(Customers!$A$2:$A$301)</f>
        <v>cust-140</v>
      </c>
      <c r="C426" s="12">
        <f t="shared" ca="1" si="12"/>
        <v>44074</v>
      </c>
      <c r="D426" t="str">
        <f ca="1">r_choice(Games!$A$2:$A$41)</f>
        <v>Prod-018</v>
      </c>
      <c r="E426" t="str">
        <f ca="1">r_choice(Branches!$A$2:$A$21)</f>
        <v>br-013</v>
      </c>
      <c r="F426" t="str">
        <f ca="1">r_choice(Employees!$A$2:$A$101)</f>
        <v>empl_056</v>
      </c>
      <c r="I426" t="str">
        <f t="shared" ca="1" si="13"/>
        <v>insert into Local_sales values ('Sale-419', 'cust-224', '24-Dec-2020', 'Prod-005', 'br-002', 'empl_048');</v>
      </c>
    </row>
    <row r="427" spans="1:9" x14ac:dyDescent="0.25">
      <c r="A427" t="s">
        <v>5323</v>
      </c>
      <c r="B427" t="str">
        <f ca="1">r_choice(Customers!$A$2:$A$301)</f>
        <v>cust-021</v>
      </c>
      <c r="C427" s="12">
        <f t="shared" ca="1" si="12"/>
        <v>44191</v>
      </c>
      <c r="D427" t="str">
        <f ca="1">r_choice(Games!$A$2:$A$41)</f>
        <v>Prod-032</v>
      </c>
      <c r="E427" t="str">
        <f ca="1">r_choice(Branches!$A$2:$A$21)</f>
        <v>br-006</v>
      </c>
      <c r="F427" t="str">
        <f ca="1">r_choice(Employees!$A$2:$A$101)</f>
        <v>empl_063</v>
      </c>
      <c r="I427" t="str">
        <f t="shared" ca="1" si="13"/>
        <v>insert into Local_sales values ('Sale-420', 'cust-260', '27-Aug-2020', 'Prod-027', 'br-017', 'empl_090');</v>
      </c>
    </row>
    <row r="428" spans="1:9" x14ac:dyDescent="0.25">
      <c r="A428" t="s">
        <v>5324</v>
      </c>
      <c r="B428" t="str">
        <f ca="1">r_choice(Customers!$A$2:$A$301)</f>
        <v>cust-034</v>
      </c>
      <c r="C428" s="12">
        <f t="shared" ca="1" si="12"/>
        <v>43989</v>
      </c>
      <c r="D428" t="str">
        <f ca="1">r_choice(Games!$A$2:$A$41)</f>
        <v>Prod-026</v>
      </c>
      <c r="E428" t="str">
        <f ca="1">r_choice(Branches!$A$2:$A$21)</f>
        <v>br-016</v>
      </c>
      <c r="F428" t="str">
        <f ca="1">r_choice(Employees!$A$2:$A$101)</f>
        <v>empl_058</v>
      </c>
      <c r="I428" t="str">
        <f t="shared" ca="1" si="13"/>
        <v>insert into Local_sales values ('Sale-421', 'cust-115', '02-Jun-2020', 'Prod-034', 'br-002', 'empl_081');</v>
      </c>
    </row>
    <row r="429" spans="1:9" x14ac:dyDescent="0.25">
      <c r="A429" t="s">
        <v>5325</v>
      </c>
      <c r="B429" t="str">
        <f ca="1">r_choice(Customers!$A$2:$A$301)</f>
        <v>cust-293</v>
      </c>
      <c r="C429" s="12">
        <f t="shared" ca="1" si="12"/>
        <v>44126</v>
      </c>
      <c r="D429" t="str">
        <f ca="1">r_choice(Games!$A$2:$A$41)</f>
        <v>Prod-003</v>
      </c>
      <c r="E429" t="str">
        <f ca="1">r_choice(Branches!$A$2:$A$21)</f>
        <v>br-002</v>
      </c>
      <c r="F429" t="str">
        <f ca="1">r_choice(Employees!$A$2:$A$101)</f>
        <v>empl_075</v>
      </c>
      <c r="I429" t="str">
        <f t="shared" ca="1" si="13"/>
        <v>insert into Local_sales values ('Sale-422', 'cust-231', '04-Jun-2020', 'Prod-023', 'br-009', 'empl_064');</v>
      </c>
    </row>
    <row r="430" spans="1:9" x14ac:dyDescent="0.25">
      <c r="A430" t="s">
        <v>5326</v>
      </c>
      <c r="B430" t="str">
        <f ca="1">r_choice(Customers!$A$2:$A$301)</f>
        <v>cust-057</v>
      </c>
      <c r="C430" s="12">
        <f t="shared" ca="1" si="12"/>
        <v>44085</v>
      </c>
      <c r="D430" t="str">
        <f ca="1">r_choice(Games!$A$2:$A$41)</f>
        <v>Prod-007</v>
      </c>
      <c r="E430" t="str">
        <f ca="1">r_choice(Branches!$A$2:$A$21)</f>
        <v>br-014</v>
      </c>
      <c r="F430" t="str">
        <f ca="1">r_choice(Employees!$A$2:$A$101)</f>
        <v>empl_071</v>
      </c>
      <c r="I430" t="str">
        <f t="shared" ca="1" si="13"/>
        <v>insert into Local_sales values ('Sale-423', 'cust-269', '08-Apr-2020', 'Prod-040', 'br-009', 'empl_070');</v>
      </c>
    </row>
    <row r="431" spans="1:9" x14ac:dyDescent="0.25">
      <c r="A431" t="s">
        <v>5327</v>
      </c>
      <c r="B431" t="str">
        <f ca="1">r_choice(Customers!$A$2:$A$301)</f>
        <v>cust-020</v>
      </c>
      <c r="C431" s="12">
        <f t="shared" ca="1" si="12"/>
        <v>43991</v>
      </c>
      <c r="D431" t="str">
        <f ca="1">r_choice(Games!$A$2:$A$41)</f>
        <v>Prod-013</v>
      </c>
      <c r="E431" t="str">
        <f ca="1">r_choice(Branches!$A$2:$A$21)</f>
        <v>br-011</v>
      </c>
      <c r="F431" t="str">
        <f ca="1">r_choice(Employees!$A$2:$A$101)</f>
        <v>empl_030</v>
      </c>
      <c r="I431" t="str">
        <f t="shared" ca="1" si="13"/>
        <v>insert into Local_sales values ('Sale-424', 'cust-125', '15-Mar-2020', 'Prod-006', 'br-010', 'empl_025');</v>
      </c>
    </row>
    <row r="432" spans="1:9" x14ac:dyDescent="0.25">
      <c r="A432" t="s">
        <v>5328</v>
      </c>
      <c r="B432" t="str">
        <f ca="1">r_choice(Customers!$A$2:$A$301)</f>
        <v>cust-068</v>
      </c>
      <c r="C432" s="12">
        <f t="shared" ca="1" si="12"/>
        <v>44194</v>
      </c>
      <c r="D432" t="str">
        <f ca="1">r_choice(Games!$A$2:$A$41)</f>
        <v>Prod-039</v>
      </c>
      <c r="E432" t="str">
        <f ca="1">r_choice(Branches!$A$2:$A$21)</f>
        <v>br-007</v>
      </c>
      <c r="F432" t="str">
        <f ca="1">r_choice(Employees!$A$2:$A$101)</f>
        <v>empl_087</v>
      </c>
      <c r="I432" t="str">
        <f t="shared" ca="1" si="13"/>
        <v>insert into Local_sales values ('Sale-425', 'cust-140', '31-Aug-2020', 'Prod-018', 'br-013', 'empl_056');</v>
      </c>
    </row>
    <row r="433" spans="1:9" x14ac:dyDescent="0.25">
      <c r="A433" t="s">
        <v>5329</v>
      </c>
      <c r="B433" t="str">
        <f ca="1">r_choice(Customers!$A$2:$A$301)</f>
        <v>cust-115</v>
      </c>
      <c r="C433" s="12">
        <f t="shared" ca="1" si="12"/>
        <v>44178</v>
      </c>
      <c r="D433" t="str">
        <f ca="1">r_choice(Games!$A$2:$A$41)</f>
        <v>Prod-038</v>
      </c>
      <c r="E433" t="str">
        <f ca="1">r_choice(Branches!$A$2:$A$21)</f>
        <v>br-014</v>
      </c>
      <c r="F433" t="str">
        <f ca="1">r_choice(Employees!$A$2:$A$101)</f>
        <v>empl_038</v>
      </c>
      <c r="I433" t="str">
        <f t="shared" ca="1" si="13"/>
        <v>insert into Local_sales values ('Sale-426', 'cust-021', '26-Dec-2020', 'Prod-032', 'br-006', 'empl_063');</v>
      </c>
    </row>
    <row r="434" spans="1:9" x14ac:dyDescent="0.25">
      <c r="A434" t="s">
        <v>5330</v>
      </c>
      <c r="B434" t="str">
        <f ca="1">r_choice(Customers!$A$2:$A$301)</f>
        <v>cust-007</v>
      </c>
      <c r="C434" s="12">
        <f t="shared" ca="1" si="12"/>
        <v>43852</v>
      </c>
      <c r="D434" t="str">
        <f ca="1">r_choice(Games!$A$2:$A$41)</f>
        <v>Prod-034</v>
      </c>
      <c r="E434" t="str">
        <f ca="1">r_choice(Branches!$A$2:$A$21)</f>
        <v>br-009</v>
      </c>
      <c r="F434" t="str">
        <f ca="1">r_choice(Employees!$A$2:$A$101)</f>
        <v>empl_038</v>
      </c>
      <c r="I434" t="str">
        <f t="shared" ca="1" si="13"/>
        <v>insert into Local_sales values ('Sale-427', 'cust-034', '07-Jun-2020', 'Prod-026', 'br-016', 'empl_058');</v>
      </c>
    </row>
    <row r="435" spans="1:9" x14ac:dyDescent="0.25">
      <c r="A435" t="s">
        <v>5331</v>
      </c>
      <c r="B435" t="str">
        <f ca="1">r_choice(Customers!$A$2:$A$301)</f>
        <v>cust-196</v>
      </c>
      <c r="C435" s="12">
        <f t="shared" ca="1" si="12"/>
        <v>44036</v>
      </c>
      <c r="D435" t="str">
        <f ca="1">r_choice(Games!$A$2:$A$41)</f>
        <v>Prod-026</v>
      </c>
      <c r="E435" t="str">
        <f ca="1">r_choice(Branches!$A$2:$A$21)</f>
        <v>br-008</v>
      </c>
      <c r="F435" t="str">
        <f ca="1">r_choice(Employees!$A$2:$A$101)</f>
        <v>empl_043</v>
      </c>
      <c r="I435" t="str">
        <f t="shared" ca="1" si="13"/>
        <v>insert into Local_sales values ('Sale-428', 'cust-293', '22-Oct-2020', 'Prod-003', 'br-002', 'empl_075');</v>
      </c>
    </row>
    <row r="436" spans="1:9" x14ac:dyDescent="0.25">
      <c r="A436" t="s">
        <v>5332</v>
      </c>
      <c r="B436" t="str">
        <f ca="1">r_choice(Customers!$A$2:$A$301)</f>
        <v>cust-158</v>
      </c>
      <c r="C436" s="12">
        <f t="shared" ca="1" si="12"/>
        <v>43931</v>
      </c>
      <c r="D436" t="str">
        <f ca="1">r_choice(Games!$A$2:$A$41)</f>
        <v>Prod-007</v>
      </c>
      <c r="E436" t="str">
        <f ca="1">r_choice(Branches!$A$2:$A$21)</f>
        <v>br-018</v>
      </c>
      <c r="F436" t="str">
        <f ca="1">r_choice(Employees!$A$2:$A$101)</f>
        <v>empl_049</v>
      </c>
      <c r="I436" t="str">
        <f t="shared" ca="1" si="13"/>
        <v>insert into Local_sales values ('Sale-429', 'cust-057', '11-Sep-2020', 'Prod-007', 'br-014', 'empl_071');</v>
      </c>
    </row>
    <row r="437" spans="1:9" x14ac:dyDescent="0.25">
      <c r="A437" t="s">
        <v>5333</v>
      </c>
      <c r="B437" t="str">
        <f ca="1">r_choice(Customers!$A$2:$A$301)</f>
        <v>cust-269</v>
      </c>
      <c r="C437" s="12">
        <f t="shared" ca="1" si="12"/>
        <v>44160</v>
      </c>
      <c r="D437" t="str">
        <f ca="1">r_choice(Games!$A$2:$A$41)</f>
        <v>Prod-003</v>
      </c>
      <c r="E437" t="str">
        <f ca="1">r_choice(Branches!$A$2:$A$21)</f>
        <v>br-020</v>
      </c>
      <c r="F437" t="str">
        <f ca="1">r_choice(Employees!$A$2:$A$101)</f>
        <v>empl_049</v>
      </c>
      <c r="I437" t="str">
        <f t="shared" ca="1" si="13"/>
        <v>insert into Local_sales values ('Sale-430', 'cust-020', '09-Jun-2020', 'Prod-013', 'br-011', 'empl_030');</v>
      </c>
    </row>
    <row r="438" spans="1:9" x14ac:dyDescent="0.25">
      <c r="A438" t="s">
        <v>5334</v>
      </c>
      <c r="B438" t="str">
        <f ca="1">r_choice(Customers!$A$2:$A$301)</f>
        <v>cust-067</v>
      </c>
      <c r="C438" s="12">
        <f t="shared" ca="1" si="12"/>
        <v>43847</v>
      </c>
      <c r="D438" t="str">
        <f ca="1">r_choice(Games!$A$2:$A$41)</f>
        <v>Prod-018</v>
      </c>
      <c r="E438" t="str">
        <f ca="1">r_choice(Branches!$A$2:$A$21)</f>
        <v>br-007</v>
      </c>
      <c r="F438" t="str">
        <f ca="1">r_choice(Employees!$A$2:$A$101)</f>
        <v>empl_027</v>
      </c>
      <c r="I438" t="str">
        <f t="shared" ca="1" si="13"/>
        <v>insert into Local_sales values ('Sale-431', 'cust-068', '29-Dec-2020', 'Prod-039', 'br-007', 'empl_087');</v>
      </c>
    </row>
    <row r="439" spans="1:9" x14ac:dyDescent="0.25">
      <c r="A439" t="s">
        <v>5335</v>
      </c>
      <c r="B439" t="str">
        <f ca="1">r_choice(Customers!$A$2:$A$301)</f>
        <v>cust-251</v>
      </c>
      <c r="C439" s="12">
        <f t="shared" ca="1" si="12"/>
        <v>43909</v>
      </c>
      <c r="D439" t="str">
        <f ca="1">r_choice(Games!$A$2:$A$41)</f>
        <v>Prod-016</v>
      </c>
      <c r="E439" t="str">
        <f ca="1">r_choice(Branches!$A$2:$A$21)</f>
        <v>br-012</v>
      </c>
      <c r="F439" t="str">
        <f ca="1">r_choice(Employees!$A$2:$A$101)</f>
        <v>empl_046</v>
      </c>
      <c r="I439" t="str">
        <f t="shared" ca="1" si="13"/>
        <v>insert into Local_sales values ('Sale-432', 'cust-115', '13-Dec-2020', 'Prod-038', 'br-014', 'empl_038');</v>
      </c>
    </row>
    <row r="440" spans="1:9" x14ac:dyDescent="0.25">
      <c r="A440" t="s">
        <v>5336</v>
      </c>
      <c r="B440" t="str">
        <f ca="1">r_choice(Customers!$A$2:$A$301)</f>
        <v>cust-070</v>
      </c>
      <c r="C440" s="12">
        <f t="shared" ca="1" si="12"/>
        <v>43905</v>
      </c>
      <c r="D440" t="str">
        <f ca="1">r_choice(Games!$A$2:$A$41)</f>
        <v>Prod-032</v>
      </c>
      <c r="E440" t="str">
        <f ca="1">r_choice(Branches!$A$2:$A$21)</f>
        <v>br-011</v>
      </c>
      <c r="F440" t="str">
        <f ca="1">r_choice(Employees!$A$2:$A$101)</f>
        <v>empl_030</v>
      </c>
      <c r="I440" t="str">
        <f t="shared" ca="1" si="13"/>
        <v>insert into Local_sales values ('Sale-433', 'cust-007', '22-Jan-2020', 'Prod-034', 'br-009', 'empl_038');</v>
      </c>
    </row>
    <row r="441" spans="1:9" x14ac:dyDescent="0.25">
      <c r="A441" t="s">
        <v>5337</v>
      </c>
      <c r="B441" t="str">
        <f ca="1">r_choice(Customers!$A$2:$A$301)</f>
        <v>cust-284</v>
      </c>
      <c r="C441" s="12">
        <f t="shared" ca="1" si="12"/>
        <v>44174</v>
      </c>
      <c r="D441" t="str">
        <f ca="1">r_choice(Games!$A$2:$A$41)</f>
        <v>Prod-030</v>
      </c>
      <c r="E441" t="str">
        <f ca="1">r_choice(Branches!$A$2:$A$21)</f>
        <v>br-001</v>
      </c>
      <c r="F441" t="str">
        <f ca="1">r_choice(Employees!$A$2:$A$101)</f>
        <v>empl_056</v>
      </c>
      <c r="I441" t="str">
        <f t="shared" ca="1" si="13"/>
        <v>insert into Local_sales values ('Sale-434', 'cust-196', '24-Jul-2020', 'Prod-026', 'br-008', 'empl_043');</v>
      </c>
    </row>
    <row r="442" spans="1:9" x14ac:dyDescent="0.25">
      <c r="A442" t="s">
        <v>5338</v>
      </c>
      <c r="B442" t="str">
        <f ca="1">r_choice(Customers!$A$2:$A$301)</f>
        <v>cust-150</v>
      </c>
      <c r="C442" s="12">
        <f t="shared" ca="1" si="12"/>
        <v>43945</v>
      </c>
      <c r="D442" t="str">
        <f ca="1">r_choice(Games!$A$2:$A$41)</f>
        <v>Prod-039</v>
      </c>
      <c r="E442" t="str">
        <f ca="1">r_choice(Branches!$A$2:$A$21)</f>
        <v>br-003</v>
      </c>
      <c r="F442" t="str">
        <f ca="1">r_choice(Employees!$A$2:$A$101)</f>
        <v>empl_035</v>
      </c>
      <c r="I442" t="str">
        <f t="shared" ca="1" si="13"/>
        <v>insert into Local_sales values ('Sale-435', 'cust-158', '10-Apr-2020', 'Prod-007', 'br-018', 'empl_049');</v>
      </c>
    </row>
    <row r="443" spans="1:9" x14ac:dyDescent="0.25">
      <c r="A443" t="s">
        <v>5339</v>
      </c>
      <c r="B443" t="str">
        <f ca="1">r_choice(Customers!$A$2:$A$301)</f>
        <v>cust-083</v>
      </c>
      <c r="C443" s="12">
        <f t="shared" ca="1" si="12"/>
        <v>44015</v>
      </c>
      <c r="D443" t="str">
        <f ca="1">r_choice(Games!$A$2:$A$41)</f>
        <v>Prod-024</v>
      </c>
      <c r="E443" t="str">
        <f ca="1">r_choice(Branches!$A$2:$A$21)</f>
        <v>br-010</v>
      </c>
      <c r="F443" t="str">
        <f ca="1">r_choice(Employees!$A$2:$A$101)</f>
        <v>empl_022</v>
      </c>
      <c r="I443" t="str">
        <f t="shared" ca="1" si="13"/>
        <v>insert into Local_sales values ('Sale-436', 'cust-269', '25-Nov-2020', 'Prod-003', 'br-020', 'empl_049');</v>
      </c>
    </row>
    <row r="444" spans="1:9" x14ac:dyDescent="0.25">
      <c r="A444" t="s">
        <v>5340</v>
      </c>
      <c r="B444" t="str">
        <f ca="1">r_choice(Customers!$A$2:$A$301)</f>
        <v>cust-058</v>
      </c>
      <c r="C444" s="12">
        <f t="shared" ca="1" si="12"/>
        <v>44062</v>
      </c>
      <c r="D444" t="str">
        <f ca="1">r_choice(Games!$A$2:$A$41)</f>
        <v>Prod-019</v>
      </c>
      <c r="E444" t="str">
        <f ca="1">r_choice(Branches!$A$2:$A$21)</f>
        <v>br-013</v>
      </c>
      <c r="F444" t="str">
        <f ca="1">r_choice(Employees!$A$2:$A$101)</f>
        <v>empl_044</v>
      </c>
      <c r="I444" t="str">
        <f t="shared" ca="1" si="13"/>
        <v>insert into Local_sales values ('Sale-437', 'cust-067', '17-Jan-2020', 'Prod-018', 'br-007', 'empl_027');</v>
      </c>
    </row>
    <row r="445" spans="1:9" x14ac:dyDescent="0.25">
      <c r="A445" t="s">
        <v>5341</v>
      </c>
      <c r="B445" t="str">
        <f ca="1">r_choice(Customers!$A$2:$A$301)</f>
        <v>cust-114</v>
      </c>
      <c r="C445" s="12">
        <f t="shared" ca="1" si="12"/>
        <v>43972</v>
      </c>
      <c r="D445" t="str">
        <f ca="1">r_choice(Games!$A$2:$A$41)</f>
        <v>Prod-001</v>
      </c>
      <c r="E445" t="str">
        <f ca="1">r_choice(Branches!$A$2:$A$21)</f>
        <v>br-017</v>
      </c>
      <c r="F445" t="str">
        <f ca="1">r_choice(Employees!$A$2:$A$101)</f>
        <v>empl_039</v>
      </c>
      <c r="I445" t="str">
        <f t="shared" ca="1" si="13"/>
        <v>insert into Local_sales values ('Sale-438', 'cust-251', '19-Mar-2020', 'Prod-016', 'br-012', 'empl_046');</v>
      </c>
    </row>
    <row r="446" spans="1:9" x14ac:dyDescent="0.25">
      <c r="A446" t="s">
        <v>5342</v>
      </c>
      <c r="B446" t="str">
        <f ca="1">r_choice(Customers!$A$2:$A$301)</f>
        <v>cust-012</v>
      </c>
      <c r="C446" s="12">
        <f t="shared" ca="1" si="12"/>
        <v>44184</v>
      </c>
      <c r="D446" t="str">
        <f ca="1">r_choice(Games!$A$2:$A$41)</f>
        <v>Prod-030</v>
      </c>
      <c r="E446" t="str">
        <f ca="1">r_choice(Branches!$A$2:$A$21)</f>
        <v>br-019</v>
      </c>
      <c r="F446" t="str">
        <f ca="1">r_choice(Employees!$A$2:$A$101)</f>
        <v>empl_055</v>
      </c>
      <c r="I446" t="str">
        <f t="shared" ca="1" si="13"/>
        <v>insert into Local_sales values ('Sale-439', 'cust-070', '15-Mar-2020', 'Prod-032', 'br-011', 'empl_030');</v>
      </c>
    </row>
    <row r="447" spans="1:9" x14ac:dyDescent="0.25">
      <c r="A447" t="s">
        <v>5343</v>
      </c>
      <c r="B447" t="str">
        <f ca="1">r_choice(Customers!$A$2:$A$301)</f>
        <v>cust-260</v>
      </c>
      <c r="C447" s="12">
        <f t="shared" ca="1" si="12"/>
        <v>44033</v>
      </c>
      <c r="D447" t="str">
        <f ca="1">r_choice(Games!$A$2:$A$41)</f>
        <v>Prod-038</v>
      </c>
      <c r="E447" t="str">
        <f ca="1">r_choice(Branches!$A$2:$A$21)</f>
        <v>br-004</v>
      </c>
      <c r="F447" t="str">
        <f ca="1">r_choice(Employees!$A$2:$A$101)</f>
        <v>empl_058</v>
      </c>
      <c r="I447" t="str">
        <f t="shared" ca="1" si="13"/>
        <v>insert into Local_sales values ('Sale-440', 'cust-284', '09-Dec-2020', 'Prod-030', 'br-001', 'empl_056');</v>
      </c>
    </row>
    <row r="448" spans="1:9" x14ac:dyDescent="0.25">
      <c r="A448" t="s">
        <v>5344</v>
      </c>
      <c r="B448" t="str">
        <f ca="1">r_choice(Customers!$A$2:$A$301)</f>
        <v>cust-124</v>
      </c>
      <c r="C448" s="12">
        <f t="shared" ca="1" si="12"/>
        <v>44078</v>
      </c>
      <c r="D448" t="str">
        <f ca="1">r_choice(Games!$A$2:$A$41)</f>
        <v>Prod-014</v>
      </c>
      <c r="E448" t="str">
        <f ca="1">r_choice(Branches!$A$2:$A$21)</f>
        <v>br-017</v>
      </c>
      <c r="F448" t="str">
        <f ca="1">r_choice(Employees!$A$2:$A$101)</f>
        <v>empl_027</v>
      </c>
      <c r="I448" t="str">
        <f t="shared" ca="1" si="13"/>
        <v>insert into Local_sales values ('Sale-441', 'cust-150', '24-Apr-2020', 'Prod-039', 'br-003', 'empl_035');</v>
      </c>
    </row>
    <row r="449" spans="1:9" x14ac:dyDescent="0.25">
      <c r="A449" t="s">
        <v>5345</v>
      </c>
      <c r="B449" t="str">
        <f ca="1">r_choice(Customers!$A$2:$A$301)</f>
        <v>cust-258</v>
      </c>
      <c r="C449" s="12">
        <f t="shared" ca="1" si="12"/>
        <v>44159</v>
      </c>
      <c r="D449" t="str">
        <f ca="1">r_choice(Games!$A$2:$A$41)</f>
        <v>Prod-025</v>
      </c>
      <c r="E449" t="str">
        <f ca="1">r_choice(Branches!$A$2:$A$21)</f>
        <v>br-007</v>
      </c>
      <c r="F449" t="str">
        <f ca="1">r_choice(Employees!$A$2:$A$101)</f>
        <v>empl_020</v>
      </c>
      <c r="I449" t="str">
        <f t="shared" ca="1" si="13"/>
        <v>insert into Local_sales values ('Sale-442', 'cust-083', '03-Jul-2020', 'Prod-024', 'br-010', 'empl_022');</v>
      </c>
    </row>
    <row r="450" spans="1:9" x14ac:dyDescent="0.25">
      <c r="A450" t="s">
        <v>5346</v>
      </c>
      <c r="B450" t="str">
        <f ca="1">r_choice(Customers!$A$2:$A$301)</f>
        <v>cust-208</v>
      </c>
      <c r="C450" s="12">
        <f t="shared" ca="1" si="12"/>
        <v>43906</v>
      </c>
      <c r="D450" t="str">
        <f ca="1">r_choice(Games!$A$2:$A$41)</f>
        <v>Prod-026</v>
      </c>
      <c r="E450" t="str">
        <f ca="1">r_choice(Branches!$A$2:$A$21)</f>
        <v>br-015</v>
      </c>
      <c r="F450" t="str">
        <f ca="1">r_choice(Employees!$A$2:$A$101)</f>
        <v>empl_053</v>
      </c>
      <c r="I450" t="str">
        <f t="shared" ca="1" si="13"/>
        <v>insert into Local_sales values ('Sale-443', 'cust-058', '19-Aug-2020', 'Prod-019', 'br-013', 'empl_044');</v>
      </c>
    </row>
    <row r="451" spans="1:9" x14ac:dyDescent="0.25">
      <c r="A451" t="s">
        <v>5403</v>
      </c>
      <c r="B451" t="str">
        <f ca="1">r_choice(Customers!$A$2:$A$301)</f>
        <v>cust-163</v>
      </c>
      <c r="C451" s="12">
        <f t="shared" ca="1" si="12"/>
        <v>44110</v>
      </c>
      <c r="D451" t="str">
        <f ca="1">r_choice(Games!$A$2:$A$41)</f>
        <v>Prod-023</v>
      </c>
      <c r="E451" t="str">
        <f ca="1">r_choice(Branches!$A$2:$A$21)</f>
        <v>br-003</v>
      </c>
      <c r="F451" t="str">
        <f ca="1">r_choice(Employees!$A$2:$A$101)</f>
        <v>empl_029</v>
      </c>
      <c r="I451" t="str">
        <f t="shared" ca="1" si="13"/>
        <v>insert into Local_sales values ('Sale-444', 'cust-114', '21-May-2020', 'Prod-001', 'br-017', 'empl_039');</v>
      </c>
    </row>
    <row r="452" spans="1:9" x14ac:dyDescent="0.25">
      <c r="C452" s="12"/>
      <c r="I452" t="str">
        <f t="shared" ca="1" si="13"/>
        <v>insert into Local_sales values ('Sale-445', 'cust-012', '19-Dec-2020', 'Prod-030', 'br-019', 'empl_055');</v>
      </c>
    </row>
    <row r="453" spans="1:9" x14ac:dyDescent="0.25">
      <c r="C453" s="12"/>
      <c r="I453" t="str">
        <f t="shared" ca="1" si="13"/>
        <v>insert into Local_sales values ('Sale-446', 'cust-260', '21-Jul-2020', 'Prod-038', 'br-004', 'empl_058');</v>
      </c>
    </row>
    <row r="454" spans="1:9" x14ac:dyDescent="0.25">
      <c r="C454" s="12"/>
      <c r="I454" t="str">
        <f t="shared" ca="1" si="13"/>
        <v>insert into Local_sales values ('Sale-447', 'cust-124', '04-Sep-2020', 'Prod-014', 'br-017', 'empl_027');</v>
      </c>
    </row>
    <row r="455" spans="1:9" x14ac:dyDescent="0.25">
      <c r="C455" s="12"/>
      <c r="I455" t="str">
        <f t="shared" ca="1" si="13"/>
        <v>insert into Local_sales values ('Sale-448', 'cust-258', '24-Nov-2020', 'Prod-025', 'br-007', 'empl_020');</v>
      </c>
    </row>
    <row r="456" spans="1:9" x14ac:dyDescent="0.25">
      <c r="C456" s="12"/>
      <c r="I456" t="str">
        <f t="shared" ref="I456:I457" ca="1" si="14">insertinto(A450:F450,$I$1:$J$6,"Local_sales")</f>
        <v>insert into Local_sales values ('Sale-449', 'cust-208', '16-Mar-2020', 'Prod-026', 'br-015', 'empl_053');</v>
      </c>
    </row>
    <row r="457" spans="1:9" x14ac:dyDescent="0.25">
      <c r="C457" s="12"/>
      <c r="I457" t="str">
        <f t="shared" ca="1" si="14"/>
        <v>insert into Local_sales values ('Sale-450', 'cust-163', '06-Oct-2020', 'Prod-023', 'br-003', 'empl_029');</v>
      </c>
    </row>
    <row r="458" spans="1:9" x14ac:dyDescent="0.25">
      <c r="C458" s="12"/>
    </row>
    <row r="459" spans="1:9" x14ac:dyDescent="0.25">
      <c r="C459" s="12"/>
    </row>
  </sheetData>
  <phoneticPr fontId="2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8EDF-72C9-4D5A-A82B-D5668B2CB915}">
  <dimension ref="A1:J27"/>
  <sheetViews>
    <sheetView workbookViewId="0">
      <selection activeCell="F12" sqref="F12"/>
    </sheetView>
  </sheetViews>
  <sheetFormatPr defaultRowHeight="13.2" x14ac:dyDescent="0.25"/>
  <cols>
    <col min="3" max="3" width="10.5546875" bestFit="1" customWidth="1"/>
    <col min="4" max="4" width="14.109375" bestFit="1" customWidth="1"/>
    <col min="6" max="6" width="8.44140625" style="13" bestFit="1" customWidth="1"/>
    <col min="9" max="9" width="14.109375" bestFit="1" customWidth="1"/>
    <col min="10" max="10" width="10.5546875" bestFit="1" customWidth="1"/>
  </cols>
  <sheetData>
    <row r="1" spans="1:10" x14ac:dyDescent="0.25">
      <c r="A1" s="1" t="s">
        <v>4362</v>
      </c>
      <c r="B1" s="1" t="s">
        <v>4518</v>
      </c>
      <c r="C1" s="1" t="s">
        <v>4519</v>
      </c>
      <c r="D1" s="1" t="s">
        <v>5402</v>
      </c>
      <c r="E1" s="1" t="s">
        <v>4366</v>
      </c>
      <c r="F1" s="14" t="s">
        <v>4997</v>
      </c>
      <c r="I1" s="1" t="s">
        <v>4362</v>
      </c>
      <c r="J1" s="1" t="s">
        <v>5399</v>
      </c>
    </row>
    <row r="2" spans="1:10" x14ac:dyDescent="0.25">
      <c r="A2" s="1" t="s">
        <v>4520</v>
      </c>
      <c r="B2" s="1" t="s">
        <v>4903</v>
      </c>
      <c r="C2" s="1" t="s">
        <v>4977</v>
      </c>
      <c r="D2" s="14">
        <f ca="1">r_integer(1000,3000)</f>
        <v>1193</v>
      </c>
      <c r="E2">
        <f t="shared" ref="E2:E21" ca="1" si="0">r_integer(10,100)</f>
        <v>44</v>
      </c>
      <c r="F2" s="13">
        <f t="shared" ref="F2:F21" ca="1" si="1">IF(B2="NORTH",r_integer(500,1500),IF(B2="SOUTH",r_integer(1000,2000),IF(B2="EAST",r_integer(1500,2500),r_integer(2500,3500))))</f>
        <v>843</v>
      </c>
      <c r="I2" s="1" t="s">
        <v>4518</v>
      </c>
      <c r="J2" s="1" t="s">
        <v>5399</v>
      </c>
    </row>
    <row r="3" spans="1:10" x14ac:dyDescent="0.25">
      <c r="A3" s="1" t="s">
        <v>4521</v>
      </c>
      <c r="B3" s="1" t="s">
        <v>4903</v>
      </c>
      <c r="C3" s="1" t="s">
        <v>4978</v>
      </c>
      <c r="D3" s="14">
        <f t="shared" ref="D3:D21" ca="1" si="2">r_integer(1000,3000)</f>
        <v>1743</v>
      </c>
      <c r="E3">
        <f t="shared" ca="1" si="0"/>
        <v>57</v>
      </c>
      <c r="F3" s="13">
        <f t="shared" ca="1" si="1"/>
        <v>760</v>
      </c>
      <c r="I3" s="1" t="s">
        <v>4519</v>
      </c>
      <c r="J3" s="1" t="s">
        <v>5399</v>
      </c>
    </row>
    <row r="4" spans="1:10" x14ac:dyDescent="0.25">
      <c r="A4" s="1" t="s">
        <v>4522</v>
      </c>
      <c r="B4" s="1" t="s">
        <v>4903</v>
      </c>
      <c r="C4" s="1" t="s">
        <v>4979</v>
      </c>
      <c r="D4" s="14">
        <f t="shared" ca="1" si="2"/>
        <v>1489</v>
      </c>
      <c r="E4">
        <f t="shared" ca="1" si="0"/>
        <v>19</v>
      </c>
      <c r="F4" s="13">
        <f t="shared" ca="1" si="1"/>
        <v>1062</v>
      </c>
      <c r="I4" s="1" t="s">
        <v>5402</v>
      </c>
      <c r="J4" s="1" t="s">
        <v>5400</v>
      </c>
    </row>
    <row r="5" spans="1:10" x14ac:dyDescent="0.25">
      <c r="A5" s="1" t="s">
        <v>4523</v>
      </c>
      <c r="B5" s="1" t="s">
        <v>4903</v>
      </c>
      <c r="C5" s="1" t="s">
        <v>4980</v>
      </c>
      <c r="D5" s="14">
        <f t="shared" ca="1" si="2"/>
        <v>2231</v>
      </c>
      <c r="E5">
        <f t="shared" ca="1" si="0"/>
        <v>13</v>
      </c>
      <c r="F5" s="13">
        <f t="shared" ca="1" si="1"/>
        <v>1048</v>
      </c>
      <c r="I5" s="1" t="s">
        <v>4366</v>
      </c>
      <c r="J5" s="1" t="s">
        <v>5400</v>
      </c>
    </row>
    <row r="6" spans="1:10" x14ac:dyDescent="0.25">
      <c r="A6" s="1" t="s">
        <v>4524</v>
      </c>
      <c r="B6" s="1" t="s">
        <v>4904</v>
      </c>
      <c r="C6" s="1" t="s">
        <v>4981</v>
      </c>
      <c r="D6" s="14">
        <f t="shared" ca="1" si="2"/>
        <v>2963</v>
      </c>
      <c r="E6">
        <f t="shared" ca="1" si="0"/>
        <v>63</v>
      </c>
      <c r="F6" s="13">
        <f t="shared" ca="1" si="1"/>
        <v>1289</v>
      </c>
      <c r="I6" s="1" t="s">
        <v>4997</v>
      </c>
      <c r="J6" s="1" t="s">
        <v>5400</v>
      </c>
    </row>
    <row r="7" spans="1:10" x14ac:dyDescent="0.25">
      <c r="A7" s="1" t="s">
        <v>4525</v>
      </c>
      <c r="B7" s="1" t="s">
        <v>4905</v>
      </c>
      <c r="C7" s="1" t="s">
        <v>4982</v>
      </c>
      <c r="D7" s="14">
        <f t="shared" ca="1" si="2"/>
        <v>1473</v>
      </c>
      <c r="E7">
        <f t="shared" ca="1" si="0"/>
        <v>35</v>
      </c>
      <c r="F7" s="13">
        <f t="shared" ca="1" si="1"/>
        <v>1952</v>
      </c>
    </row>
    <row r="8" spans="1:10" x14ac:dyDescent="0.25">
      <c r="A8" s="1" t="s">
        <v>4526</v>
      </c>
      <c r="B8" s="1" t="s">
        <v>4905</v>
      </c>
      <c r="C8" s="1" t="s">
        <v>4983</v>
      </c>
      <c r="D8" s="14">
        <f t="shared" ca="1" si="2"/>
        <v>2607</v>
      </c>
      <c r="E8">
        <f t="shared" ca="1" si="0"/>
        <v>58</v>
      </c>
      <c r="F8" s="13">
        <f t="shared" ca="1" si="1"/>
        <v>1824</v>
      </c>
      <c r="I8" t="str">
        <f ca="1">insertinto(A2:F2,$I$1:$J$6,"Branches")</f>
        <v>insert into Branches values ('br-001', 'NORTH', 'mgr_001', 1193, 44, 843);</v>
      </c>
    </row>
    <row r="9" spans="1:10" x14ac:dyDescent="0.25">
      <c r="A9" s="1" t="s">
        <v>4527</v>
      </c>
      <c r="B9" s="1" t="s">
        <v>4904</v>
      </c>
      <c r="C9" s="1" t="s">
        <v>4984</v>
      </c>
      <c r="D9" s="14">
        <f t="shared" ca="1" si="2"/>
        <v>2865</v>
      </c>
      <c r="E9">
        <f t="shared" ca="1" si="0"/>
        <v>14</v>
      </c>
      <c r="F9" s="13">
        <f t="shared" ca="1" si="1"/>
        <v>1346</v>
      </c>
      <c r="I9" t="str">
        <f t="shared" ref="I9:I27" ca="1" si="3">insertinto(A3:F3,$I$1:$J$6,"Branches")</f>
        <v>insert into Branches values ('br-002', 'NORTH', 'mgr_002', 1743, 57, 760);</v>
      </c>
    </row>
    <row r="10" spans="1:10" x14ac:dyDescent="0.25">
      <c r="A10" s="1" t="s">
        <v>4528</v>
      </c>
      <c r="B10" s="1" t="s">
        <v>4904</v>
      </c>
      <c r="C10" s="1" t="s">
        <v>4985</v>
      </c>
      <c r="D10" s="14">
        <f t="shared" ca="1" si="2"/>
        <v>2815</v>
      </c>
      <c r="E10">
        <f t="shared" ca="1" si="0"/>
        <v>62</v>
      </c>
      <c r="F10" s="13">
        <f t="shared" ca="1" si="1"/>
        <v>1129</v>
      </c>
      <c r="I10" t="str">
        <f t="shared" ca="1" si="3"/>
        <v>insert into Branches values ('br-003', 'NORTH', 'mgr_003', 1489, 19, 1062);</v>
      </c>
    </row>
    <row r="11" spans="1:10" x14ac:dyDescent="0.25">
      <c r="A11" s="1" t="s">
        <v>4529</v>
      </c>
      <c r="B11" s="1" t="s">
        <v>4904</v>
      </c>
      <c r="C11" s="1" t="s">
        <v>4986</v>
      </c>
      <c r="D11" s="14">
        <f t="shared" ca="1" si="2"/>
        <v>1320</v>
      </c>
      <c r="E11">
        <f t="shared" ca="1" si="0"/>
        <v>51</v>
      </c>
      <c r="F11" s="13">
        <f t="shared" ca="1" si="1"/>
        <v>1839</v>
      </c>
      <c r="I11" t="str">
        <f t="shared" ca="1" si="3"/>
        <v>insert into Branches values ('br-004', 'NORTH', 'mgr_004', 2231, 13, 1048);</v>
      </c>
    </row>
    <row r="12" spans="1:10" x14ac:dyDescent="0.25">
      <c r="A12" s="1" t="s">
        <v>4530</v>
      </c>
      <c r="B12" s="1" t="s">
        <v>4905</v>
      </c>
      <c r="C12" s="1" t="s">
        <v>4987</v>
      </c>
      <c r="D12" s="14">
        <f t="shared" ca="1" si="2"/>
        <v>1887</v>
      </c>
      <c r="E12">
        <f t="shared" ca="1" si="0"/>
        <v>31</v>
      </c>
      <c r="F12" s="13">
        <f t="shared" ca="1" si="1"/>
        <v>2452</v>
      </c>
      <c r="I12" t="str">
        <f t="shared" ca="1" si="3"/>
        <v>insert into Branches values ('br-005', 'SOUTH', 'mgr_005', 2963, 63, 1289);</v>
      </c>
    </row>
    <row r="13" spans="1:10" x14ac:dyDescent="0.25">
      <c r="A13" s="1" t="s">
        <v>4531</v>
      </c>
      <c r="B13" s="1" t="s">
        <v>4905</v>
      </c>
      <c r="C13" s="1" t="s">
        <v>4988</v>
      </c>
      <c r="D13" s="14">
        <f t="shared" ca="1" si="2"/>
        <v>2770</v>
      </c>
      <c r="E13">
        <f t="shared" ca="1" si="0"/>
        <v>49</v>
      </c>
      <c r="F13" s="13">
        <f t="shared" ca="1" si="1"/>
        <v>1577</v>
      </c>
      <c r="I13" t="str">
        <f t="shared" ca="1" si="3"/>
        <v>insert into Branches values ('br-006', 'EAST', 'mgr_006', 1473, 35, 1952);</v>
      </c>
    </row>
    <row r="14" spans="1:10" x14ac:dyDescent="0.25">
      <c r="A14" s="1" t="s">
        <v>4532</v>
      </c>
      <c r="B14" s="1" t="s">
        <v>4906</v>
      </c>
      <c r="C14" s="1" t="s">
        <v>4989</v>
      </c>
      <c r="D14" s="14">
        <f t="shared" ca="1" si="2"/>
        <v>1700</v>
      </c>
      <c r="E14">
        <f t="shared" ca="1" si="0"/>
        <v>62</v>
      </c>
      <c r="F14" s="13">
        <f t="shared" ca="1" si="1"/>
        <v>3020</v>
      </c>
      <c r="I14" t="str">
        <f t="shared" ca="1" si="3"/>
        <v>insert into Branches values ('br-007', 'EAST', 'mgr_007', 2607, 58, 1824);</v>
      </c>
    </row>
    <row r="15" spans="1:10" x14ac:dyDescent="0.25">
      <c r="A15" s="1" t="s">
        <v>4533</v>
      </c>
      <c r="B15" s="1" t="s">
        <v>4906</v>
      </c>
      <c r="C15" s="1" t="s">
        <v>4990</v>
      </c>
      <c r="D15" s="14">
        <f t="shared" ca="1" si="2"/>
        <v>2784</v>
      </c>
      <c r="E15">
        <f t="shared" ca="1" si="0"/>
        <v>39</v>
      </c>
      <c r="F15" s="13">
        <f t="shared" ca="1" si="1"/>
        <v>3120</v>
      </c>
      <c r="I15" t="str">
        <f t="shared" ca="1" si="3"/>
        <v>insert into Branches values ('br-008', 'SOUTH', 'mgr_008', 2865, 14, 1346);</v>
      </c>
    </row>
    <row r="16" spans="1:10" x14ac:dyDescent="0.25">
      <c r="A16" s="1" t="s">
        <v>4534</v>
      </c>
      <c r="B16" s="1" t="s">
        <v>4907</v>
      </c>
      <c r="C16" s="1" t="s">
        <v>4991</v>
      </c>
      <c r="D16" s="14">
        <f t="shared" ca="1" si="2"/>
        <v>1733</v>
      </c>
      <c r="E16">
        <f t="shared" ca="1" si="0"/>
        <v>47</v>
      </c>
      <c r="F16" s="13">
        <f t="shared" ca="1" si="1"/>
        <v>2940</v>
      </c>
      <c r="I16" t="str">
        <f t="shared" ca="1" si="3"/>
        <v>insert into Branches values ('br-009', 'SOUTH', 'mgr_009', 2815, 62, 1129);</v>
      </c>
    </row>
    <row r="17" spans="1:9" x14ac:dyDescent="0.25">
      <c r="A17" s="1" t="s">
        <v>4535</v>
      </c>
      <c r="B17" s="1" t="s">
        <v>4906</v>
      </c>
      <c r="C17" s="1" t="s">
        <v>4992</v>
      </c>
      <c r="D17" s="14">
        <f t="shared" ca="1" si="2"/>
        <v>2104</v>
      </c>
      <c r="E17">
        <f t="shared" ca="1" si="0"/>
        <v>83</v>
      </c>
      <c r="F17" s="13">
        <f t="shared" ca="1" si="1"/>
        <v>2524</v>
      </c>
      <c r="I17" t="str">
        <f t="shared" ca="1" si="3"/>
        <v>insert into Branches values ('br-010', 'SOUTH', 'mgr_010', 1320, 51, 1839);</v>
      </c>
    </row>
    <row r="18" spans="1:9" x14ac:dyDescent="0.25">
      <c r="A18" s="1" t="s">
        <v>4536</v>
      </c>
      <c r="B18" s="1" t="s">
        <v>4907</v>
      </c>
      <c r="C18" s="1" t="s">
        <v>4993</v>
      </c>
      <c r="D18" s="14">
        <f t="shared" ca="1" si="2"/>
        <v>1456</v>
      </c>
      <c r="E18">
        <f t="shared" ca="1" si="0"/>
        <v>34</v>
      </c>
      <c r="F18" s="13">
        <f t="shared" ca="1" si="1"/>
        <v>3444</v>
      </c>
      <c r="I18" t="str">
        <f t="shared" ca="1" si="3"/>
        <v>insert into Branches values ('br-011', 'EAST', 'mgr_011', 1887, 31, 2452);</v>
      </c>
    </row>
    <row r="19" spans="1:9" x14ac:dyDescent="0.25">
      <c r="A19" s="1" t="s">
        <v>4537</v>
      </c>
      <c r="B19" s="1" t="s">
        <v>4906</v>
      </c>
      <c r="C19" s="1" t="s">
        <v>4994</v>
      </c>
      <c r="D19" s="14">
        <f t="shared" ca="1" si="2"/>
        <v>2145</v>
      </c>
      <c r="E19">
        <f t="shared" ca="1" si="0"/>
        <v>61</v>
      </c>
      <c r="F19" s="13">
        <f t="shared" ca="1" si="1"/>
        <v>3100</v>
      </c>
      <c r="I19" t="str">
        <f t="shared" ca="1" si="3"/>
        <v>insert into Branches values ('br-012', 'EAST', 'mgr_012', 2770, 49, 1577);</v>
      </c>
    </row>
    <row r="20" spans="1:9" x14ac:dyDescent="0.25">
      <c r="A20" s="1" t="s">
        <v>4538</v>
      </c>
      <c r="B20" s="1" t="s">
        <v>4907</v>
      </c>
      <c r="C20" s="1" t="s">
        <v>4995</v>
      </c>
      <c r="D20" s="14">
        <f t="shared" ca="1" si="2"/>
        <v>2071</v>
      </c>
      <c r="E20">
        <f t="shared" ca="1" si="0"/>
        <v>84</v>
      </c>
      <c r="F20" s="13">
        <f t="shared" ca="1" si="1"/>
        <v>2673</v>
      </c>
      <c r="I20" t="str">
        <f t="shared" ca="1" si="3"/>
        <v>insert into Branches values ('br-013', 'WEST', 'mgr_013', 1700, 62, 3020);</v>
      </c>
    </row>
    <row r="21" spans="1:9" x14ac:dyDescent="0.25">
      <c r="A21" s="1" t="s">
        <v>4539</v>
      </c>
      <c r="B21" s="1" t="s">
        <v>4907</v>
      </c>
      <c r="C21" s="1" t="s">
        <v>4996</v>
      </c>
      <c r="D21" s="14">
        <f t="shared" ca="1" si="2"/>
        <v>2845</v>
      </c>
      <c r="E21">
        <f t="shared" ca="1" si="0"/>
        <v>62</v>
      </c>
      <c r="F21" s="13">
        <f t="shared" ca="1" si="1"/>
        <v>3288</v>
      </c>
      <c r="I21" t="str">
        <f t="shared" ca="1" si="3"/>
        <v>insert into Branches values ('br-014', 'WEST', 'mgr_014', 2784, 39, 3120);</v>
      </c>
    </row>
    <row r="22" spans="1:9" x14ac:dyDescent="0.25">
      <c r="I22" t="str">
        <f t="shared" ca="1" si="3"/>
        <v>insert into Branches values ('br-015', 'CENTRAL', 'mgr_015', 1733, 47, 2940);</v>
      </c>
    </row>
    <row r="23" spans="1:9" x14ac:dyDescent="0.25">
      <c r="I23" t="str">
        <f t="shared" ca="1" si="3"/>
        <v>insert into Branches values ('br-016', 'WEST', 'mgr_016', 2104, 83, 2524);</v>
      </c>
    </row>
    <row r="24" spans="1:9" x14ac:dyDescent="0.25">
      <c r="I24" t="str">
        <f t="shared" ca="1" si="3"/>
        <v>insert into Branches values ('br-017', 'CENTRAL', 'mgr_017', 1456, 34, 3444);</v>
      </c>
    </row>
    <row r="25" spans="1:9" x14ac:dyDescent="0.25">
      <c r="I25" t="str">
        <f t="shared" ca="1" si="3"/>
        <v>insert into Branches values ('br-018', 'WEST', 'mgr_018', 2145, 61, 3100);</v>
      </c>
    </row>
    <row r="26" spans="1:9" x14ac:dyDescent="0.25">
      <c r="I26" t="str">
        <f t="shared" ca="1" si="3"/>
        <v>insert into Branches values ('br-019', 'CENTRAL', 'mgr_019', 2071, 84, 2673);</v>
      </c>
    </row>
    <row r="27" spans="1:9" x14ac:dyDescent="0.25">
      <c r="I27" t="str">
        <f t="shared" ca="1" si="3"/>
        <v>insert into Branches values ('br-020', 'CENTRAL', 'mgr_020', 2845, 62, 3288);</v>
      </c>
    </row>
  </sheetData>
  <sortState xmlns:xlrd2="http://schemas.microsoft.com/office/spreadsheetml/2017/richdata2" ref="B2:F21">
    <sortCondition ref="F2:F21"/>
  </sortState>
  <phoneticPr fontId="2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54A4-59E6-4688-8840-BA9B206D43C1}">
  <dimension ref="A1:G10"/>
  <sheetViews>
    <sheetView workbookViewId="0">
      <selection activeCell="F6" sqref="F6:F10"/>
    </sheetView>
  </sheetViews>
  <sheetFormatPr defaultRowHeight="13.2" x14ac:dyDescent="0.25"/>
  <cols>
    <col min="1" max="1" width="12.88671875" bestFit="1" customWidth="1"/>
    <col min="6" max="6" width="12.88671875" bestFit="1" customWidth="1"/>
  </cols>
  <sheetData>
    <row r="1" spans="1:7" x14ac:dyDescent="0.25">
      <c r="A1" s="1" t="s">
        <v>4892</v>
      </c>
      <c r="B1" s="1" t="s">
        <v>4518</v>
      </c>
      <c r="C1" s="1" t="s">
        <v>4976</v>
      </c>
      <c r="D1" s="1" t="s">
        <v>4305</v>
      </c>
      <c r="E1" s="1"/>
      <c r="F1" s="1" t="s">
        <v>4892</v>
      </c>
      <c r="G1" s="1" t="s">
        <v>5399</v>
      </c>
    </row>
    <row r="2" spans="1:7" x14ac:dyDescent="0.25">
      <c r="A2" s="1" t="s">
        <v>4893</v>
      </c>
      <c r="B2" s="1" t="s">
        <v>2486</v>
      </c>
      <c r="C2">
        <v>44</v>
      </c>
      <c r="D2" s="1" t="s">
        <v>4901</v>
      </c>
      <c r="F2" s="1" t="s">
        <v>4518</v>
      </c>
      <c r="G2" s="1" t="s">
        <v>5399</v>
      </c>
    </row>
    <row r="3" spans="1:7" x14ac:dyDescent="0.25">
      <c r="A3" s="1" t="s">
        <v>4894</v>
      </c>
      <c r="B3" s="1" t="s">
        <v>4897</v>
      </c>
      <c r="C3">
        <v>36</v>
      </c>
      <c r="D3" s="1" t="s">
        <v>4901</v>
      </c>
      <c r="F3" s="1" t="s">
        <v>4976</v>
      </c>
      <c r="G3" s="1" t="s">
        <v>5400</v>
      </c>
    </row>
    <row r="4" spans="1:7" x14ac:dyDescent="0.25">
      <c r="A4" s="1" t="s">
        <v>4895</v>
      </c>
      <c r="B4" s="1" t="s">
        <v>4898</v>
      </c>
      <c r="C4">
        <v>67</v>
      </c>
      <c r="D4" s="1" t="s">
        <v>4902</v>
      </c>
      <c r="F4" s="1" t="s">
        <v>4305</v>
      </c>
      <c r="G4" s="1" t="s">
        <v>5399</v>
      </c>
    </row>
    <row r="5" spans="1:7" x14ac:dyDescent="0.25">
      <c r="A5" s="1" t="s">
        <v>4896</v>
      </c>
      <c r="B5" s="1" t="s">
        <v>564</v>
      </c>
      <c r="C5">
        <v>61</v>
      </c>
      <c r="D5" s="1" t="s">
        <v>4902</v>
      </c>
    </row>
    <row r="6" spans="1:7" x14ac:dyDescent="0.25">
      <c r="A6" s="1" t="s">
        <v>4899</v>
      </c>
      <c r="B6" s="1" t="s">
        <v>4900</v>
      </c>
      <c r="C6">
        <v>83</v>
      </c>
      <c r="D6" s="1" t="s">
        <v>4902</v>
      </c>
      <c r="F6" t="str">
        <f>insertinto(A2:D2,$F$1:$G$4,"Warehouses")</f>
        <v>insert into Warehouses values ('wrh-001', 'North', 44, 'LOCAL');</v>
      </c>
    </row>
    <row r="7" spans="1:7" x14ac:dyDescent="0.25">
      <c r="F7" t="str">
        <f t="shared" ref="F7:F10" si="0">insertinto(A3:D3,$F$1:$G$4,"Warehouses")</f>
        <v>insert into Warehouses values ('wrh-002', 'East', 36, 'LOCAL');</v>
      </c>
    </row>
    <row r="8" spans="1:7" x14ac:dyDescent="0.25">
      <c r="F8" t="str">
        <f t="shared" si="0"/>
        <v>insert into Warehouses values ('wrh-003', 'South', 67, 'GLOBAL');</v>
      </c>
    </row>
    <row r="9" spans="1:7" x14ac:dyDescent="0.25">
      <c r="F9" t="str">
        <f t="shared" si="0"/>
        <v>insert into Warehouses values ('wrh-004', 'West', 61, 'GLOBAL');</v>
      </c>
    </row>
    <row r="10" spans="1:7" x14ac:dyDescent="0.25">
      <c r="F10" t="str">
        <f t="shared" si="0"/>
        <v>insert into Warehouses values ('wrh-005', 'Central', 83, 'GLOBAL');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Customers</vt:lpstr>
      <vt:lpstr>Cards</vt:lpstr>
      <vt:lpstr>Games</vt:lpstr>
      <vt:lpstr>Publishers</vt:lpstr>
      <vt:lpstr>Employees</vt:lpstr>
      <vt:lpstr>Online_orders</vt:lpstr>
      <vt:lpstr>Local_sales</vt:lpstr>
      <vt:lpstr>Branches</vt:lpstr>
      <vt:lpstr>Warehouses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Γιωργος Κατσωνης</cp:lastModifiedBy>
  <dcterms:created xsi:type="dcterms:W3CDTF">2013-02-25T22:34:06Z</dcterms:created>
  <dcterms:modified xsi:type="dcterms:W3CDTF">2020-12-13T20:40:09Z</dcterms:modified>
</cp:coreProperties>
</file>